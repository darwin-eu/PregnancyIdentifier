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lack/darwin/PregnancyIdentifier/extras/"/>
    </mc:Choice>
  </mc:AlternateContent>
  <xr:revisionPtr revIDLastSave="0" documentId="13_ncr:1_{8A24F171-A19F-FE44-B9B9-FA7F10A050A5}" xr6:coauthVersionLast="47" xr6:coauthVersionMax="47" xr10:uidLastSave="{00000000-0000-0000-0000-000000000000}"/>
  <bookViews>
    <workbookView xWindow="0" yWindow="4220" windowWidth="34200" windowHeight="12660" activeTab="2" xr2:uid="{2624F3FA-1896-E346-B17D-1AF481078F66}"/>
  </bookViews>
  <sheets>
    <sheet name="person" sheetId="1" r:id="rId1"/>
    <sheet name="observation_period" sheetId="2" r:id="rId2"/>
    <sheet name="condition_occurrence" sheetId="4" r:id="rId3"/>
    <sheet name="observation" sheetId="11" r:id="rId4"/>
    <sheet name="procedure_occurrence" sheetId="10" r:id="rId5"/>
    <sheet name="measurement" sheetId="9" r:id="rId6"/>
    <sheet name="drug_exposure" sheetId="3" r:id="rId7"/>
    <sheet name="drug_era" sheetId="7" r:id="rId8"/>
    <sheet name="drug_strength" sheetId="8" r:id="rId9"/>
    <sheet name="pregnancy_extension" sheetId="5" r:id="rId10"/>
    <sheet name="visit_occurrence" sheetId="6" r:id="rId11"/>
  </sheets>
  <definedNames>
    <definedName name="_xlnm._FilterDatabase" localSheetId="2" hidden="1">condition_occurrence!$A$1:$H$12</definedName>
    <definedName name="_xlnm._FilterDatabase" localSheetId="6" hidden="1">drug_exposure!$A$1:$N$29</definedName>
    <definedName name="_xlnm._FilterDatabase" localSheetId="1" hidden="1">observation_period!$A$1:$E$17</definedName>
    <definedName name="_xlnm._FilterDatabase" localSheetId="0" hidden="1">person!$A$1:$F$15</definedName>
    <definedName name="_xlnm._FilterDatabase" localSheetId="9" hidden="1">pregnancy_extension!$A$1:$K$4</definedName>
    <definedName name="measurement" localSheetId="5">measurement!$A$1:$T$99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G7" i="5"/>
  <c r="G6" i="5"/>
  <c r="G5" i="5"/>
  <c r="E7" i="3"/>
  <c r="G4" i="5"/>
  <c r="J6" i="3"/>
  <c r="E6" i="3"/>
  <c r="J5" i="3"/>
  <c r="J3" i="3"/>
  <c r="J4" i="3"/>
  <c r="J2" i="3"/>
  <c r="G3" i="5"/>
  <c r="E5" i="3"/>
  <c r="E2" i="3"/>
  <c r="E4" i="3"/>
  <c r="E3" i="3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976AE-01B3-7749-9419-2F5AB4A4F06D}" name="measurement" type="6" refreshedVersion="8" background="1" saveData="1">
    <textPr sourceFile="/Users/ginberg/Code/TestGenerator/inst/extdata/mimic_sample/measurement.csv" decimal="," thousands=".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<sst xmlns="http://schemas.openxmlformats.org/spreadsheetml/2006/main" count="309" uniqueCount="130">
  <si>
    <t>person_id</t>
  </si>
  <si>
    <t>gender_concept_id</t>
  </si>
  <si>
    <t>year_of_birth</t>
  </si>
  <si>
    <t>race_concept_id</t>
  </si>
  <si>
    <t>ethnicity_concept_id</t>
  </si>
  <si>
    <t>gender</t>
  </si>
  <si>
    <t>Female</t>
  </si>
  <si>
    <t>male</t>
  </si>
  <si>
    <t>observation_period_id</t>
  </si>
  <si>
    <t>observation_period_start_date</t>
  </si>
  <si>
    <t>observation_period_end_date</t>
  </si>
  <si>
    <t>period_type_concept_id</t>
  </si>
  <si>
    <t>32880</t>
  </si>
  <si>
    <t>condition_occurrence_id</t>
  </si>
  <si>
    <t>condition_concept_id</t>
  </si>
  <si>
    <t>condition_start_date</t>
  </si>
  <si>
    <t>condition_type_concept_id</t>
  </si>
  <si>
    <t>condition_status_concept_id</t>
  </si>
  <si>
    <t>condition_source_concept_id</t>
  </si>
  <si>
    <t>Gestation period, 21 weeks</t>
  </si>
  <si>
    <t>Gestation period, 25 weeks</t>
  </si>
  <si>
    <t>Stillbrith</t>
  </si>
  <si>
    <t>measurement_id</t>
  </si>
  <si>
    <t>measurement_concept_id</t>
  </si>
  <si>
    <t>measurement_date</t>
  </si>
  <si>
    <t>measurement_datetime</t>
  </si>
  <si>
    <t>measurement_time</t>
  </si>
  <si>
    <t>measurement_type_concept_id</t>
  </si>
  <si>
    <t>operator_concept_id</t>
  </si>
  <si>
    <t>value_as_number</t>
  </si>
  <si>
    <t>value_as_concept_id</t>
  </si>
  <si>
    <t>unit_concept_id</t>
  </si>
  <si>
    <t>range_low</t>
  </si>
  <si>
    <t>range_high</t>
  </si>
  <si>
    <t>provider_id</t>
  </si>
  <si>
    <t>visit_occurrence_id</t>
  </si>
  <si>
    <t>visit_detail_id</t>
  </si>
  <si>
    <t>measurement_source_value</t>
  </si>
  <si>
    <t>measurement_source_concept_id</t>
  </si>
  <si>
    <t>unit_source_value</t>
  </si>
  <si>
    <t>value_source_value</t>
  </si>
  <si>
    <t>NA</t>
  </si>
  <si>
    <t>mmHg</t>
  </si>
  <si>
    <t>3.5</t>
  </si>
  <si>
    <t>3.3</t>
  </si>
  <si>
    <t>5.1</t>
  </si>
  <si>
    <t>mEq/L</t>
  </si>
  <si>
    <t>0.7</t>
  </si>
  <si>
    <t>mg/dL</t>
  </si>
  <si>
    <t>27.2</t>
  </si>
  <si>
    <t>%</t>
  </si>
  <si>
    <t>Positive</t>
  </si>
  <si>
    <t>drug_exposure_id</t>
  </si>
  <si>
    <t>drug_concept_id</t>
  </si>
  <si>
    <t>quantity</t>
  </si>
  <si>
    <t>days_supply</t>
  </si>
  <si>
    <t>drug_exposure_start_date</t>
  </si>
  <si>
    <t>drug_exposure_end_date</t>
  </si>
  <si>
    <t>drug_type_concept_id</t>
  </si>
  <si>
    <t>drug_era_id</t>
  </si>
  <si>
    <t>drug_era_start_date</t>
  </si>
  <si>
    <t>drug_era_end_date</t>
  </si>
  <si>
    <t>ingredient_concept_id</t>
  </si>
  <si>
    <t>amount_value</t>
  </si>
  <si>
    <t>amount_unit_concept_id</t>
  </si>
  <si>
    <t>numerator_value</t>
  </si>
  <si>
    <t>numerator_unit_concept_id</t>
  </si>
  <si>
    <t>denominator_value</t>
  </si>
  <si>
    <t>denominator_unit_concept_id</t>
  </si>
  <si>
    <t>box_size</t>
  </si>
  <si>
    <t>valid_start_date</t>
  </si>
  <si>
    <t>valid_end_date</t>
  </si>
  <si>
    <t>invalid_reason</t>
  </si>
  <si>
    <t>U</t>
  </si>
  <si>
    <t xml:space="preserve">pregnancy_id </t>
  </si>
  <si>
    <t xml:space="preserve">pregnancy_start_date </t>
  </si>
  <si>
    <t xml:space="preserve">pregnancy_end_date </t>
  </si>
  <si>
    <t xml:space="preserve">pregnancy_outcome_id </t>
  </si>
  <si>
    <t xml:space="preserve">mode_delivery </t>
  </si>
  <si>
    <t xml:space="preserve">gestational_length_in_day </t>
  </si>
  <si>
    <t xml:space="preserve">number_fetuses </t>
  </si>
  <si>
    <t xml:space="preserve">pregnancy_smok </t>
  </si>
  <si>
    <t xml:space="preserve">pregnancy_alc </t>
  </si>
  <si>
    <t>pregnancy_bmi</t>
  </si>
  <si>
    <t>pre_pregnancy_bmi</t>
  </si>
  <si>
    <t>prev_pregnancy_gravidity</t>
  </si>
  <si>
    <t xml:space="preserve">livebirth </t>
  </si>
  <si>
    <t>c-section</t>
  </si>
  <si>
    <t xml:space="preserve">yes </t>
  </si>
  <si>
    <t>visit_concept_id</t>
  </si>
  <si>
    <t>visit_start_date</t>
  </si>
  <si>
    <t>visit_start_datetime</t>
  </si>
  <si>
    <t>visit_end_date</t>
  </si>
  <si>
    <t>visit_end_datetime</t>
  </si>
  <si>
    <t>visit_type_concept_id</t>
  </si>
  <si>
    <t>care_site_id</t>
  </si>
  <si>
    <t>visit_source_value</t>
  </si>
  <si>
    <t>visit_source_concept_id</t>
  </si>
  <si>
    <t>admitting_source_concept_id</t>
  </si>
  <si>
    <t>admitting_source_value</t>
  </si>
  <si>
    <t>discharge_to_concept_id</t>
  </si>
  <si>
    <t>discharge_to_source_value</t>
  </si>
  <si>
    <t>preceding_visit_occurrence_id</t>
  </si>
  <si>
    <t>Single live birth</t>
  </si>
  <si>
    <t>Pregnancy test positive</t>
  </si>
  <si>
    <t>procedure_concept_id</t>
  </si>
  <si>
    <t>procedure_date</t>
  </si>
  <si>
    <t>procedure_type_concept_id</t>
  </si>
  <si>
    <t>observation_id</t>
  </si>
  <si>
    <t>observation_concept_id</t>
  </si>
  <si>
    <t>observation_date</t>
  </si>
  <si>
    <t>observation_type_concept_id</t>
  </si>
  <si>
    <t>Observation</t>
  </si>
  <si>
    <t>Ultrasound, pregnant uterus, first trimester (&lt;14w), transabdominal; single/first gestation</t>
  </si>
  <si>
    <t>Ultrasound, pregnant uterus, real time with image documentation, fetal and maternal evaluation, first trimester (&lt; 14 weeks 0 days), transabdominal approach; single or first gestation</t>
  </si>
  <si>
    <t>Gestation period, 20 weeks</t>
  </si>
  <si>
    <t>Gestation period, 32 weeks</t>
  </si>
  <si>
    <t>Single stillbirth</t>
  </si>
  <si>
    <t>Ultrasound, pregnant uterus, real time with image documentation, fetal and maternal evaluation plus detailed fetal anatomic examination, transabdominal approach; single or first gestation</t>
  </si>
  <si>
    <t>Born by cesarean section</t>
  </si>
  <si>
    <t>Gestation period, 8 weeks</t>
  </si>
  <si>
    <t>Ectopic pregnancy</t>
  </si>
  <si>
    <t>Gestation period, 12 weeks</t>
  </si>
  <si>
    <t>Elective termination of pregnancy</t>
  </si>
  <si>
    <t>Miscarriage</t>
  </si>
  <si>
    <t>Ultrasound, pregnant uterus, detailed fetal anatomic exam, transabdominal; single/first gestation</t>
  </si>
  <si>
    <t>Gestation period, 40 weeks</t>
  </si>
  <si>
    <t>procedure_source_value</t>
  </si>
  <si>
    <t>procedure_occurrence_id</t>
  </si>
  <si>
    <t>condition_source_value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</si>
</sst>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yyyy\-mm\-dd;@"/>
    <numFmt numFmtId="166" formatCode="yyyy\-mm\-dd"/>
  </numFmts>
  <fonts count="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33333"/>
      <name val="Helvetica"/>
      <family val="2"/>
    </font>
    <font>
      <sz val="11"/>
      <color rgb="FF000000"/>
      <name val="Aptos Narrow"/>
    </font>
    <font>
      <sz val="11"/>
      <color rgb="FF222222"/>
      <name val="Verdana"/>
      <family val="2"/>
    </font>
    <font>
      <sz val="9"/>
      <color rgb="FF333333"/>
      <name val="-Apple-System"/>
      <charset val="1"/>
    </font>
    <font>
      <sz val="16"/>
      <color rgb="FF777777"/>
      <name val="Helvetica Neue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5" fontId="0" fillId="0" borderId="0" xfId="0" applyNumberForma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0" fillId="3" borderId="0" xfId="0" applyFill="1"/>
    <xf numFmtId="165" fontId="0" fillId="3" borderId="0" xfId="0" applyNumberFormat="1" applyFill="1" applyAlignment="1">
      <alignment horizontal="left"/>
    </xf>
    <xf numFmtId="0" fontId="4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6" fillId="0" borderId="0" xfId="0" applyFont="1"/>
    <xf numFmtId="0" fontId="0" fillId="2" borderId="0" xfId="0" applyFill="1" applyAlignment="1">
      <alignment wrapText="1"/>
    </xf>
    <xf numFmtId="165" fontId="0" fillId="0" borderId="0" xfId="0" applyNumberFormat="1" applyAlignment="1">
      <alignment horizontal="left"/>
    </xf>
    <xf numFmtId="14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left" vertical="top" wrapText="1"/>
    </xf>
    <xf numFmtId="166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7" fillId="0" borderId="0" xfId="1"/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6" fontId="0" fillId="3" borderId="1" xfId="0" applyNumberForma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95F1564-50B8-4D0F-AB97-0EF6D0E1763E}">
    <nsvFilter filterId="{556FAEDB-4FE7-8849-9EBA-5154A838789B}" ref="A1:H12" tableId="0">
      <columnFilter colId="7">
        <filter colId="7">
          <x:filters>
            <x:filter val="Heart failure"/>
          </x:filters>
        </filter>
      </columnFilter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urement" connectionId="1" xr16:uid="{9B2BB9F1-D304-0243-964F-8F4DB78EB55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tlas.darwin-eu.or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C072-644C-1A47-9B0F-C596ED60D337}">
  <dimension ref="A1:F31"/>
  <sheetViews>
    <sheetView workbookViewId="0">
      <selection activeCell="B13" sqref="B13"/>
    </sheetView>
  </sheetViews>
  <sheetFormatPr baseColWidth="10" defaultColWidth="11" defaultRowHeight="16"/>
  <cols>
    <col min="1" max="1" width="20" customWidth="1"/>
    <col min="2" max="2" width="21" customWidth="1"/>
    <col min="3" max="3" width="20" customWidth="1"/>
    <col min="4" max="4" width="21.5" customWidth="1"/>
    <col min="5" max="5" width="2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8532</v>
      </c>
      <c r="C2">
        <v>2000</v>
      </c>
      <c r="D2">
        <v>0</v>
      </c>
      <c r="E2">
        <v>0</v>
      </c>
      <c r="F2" t="s">
        <v>6</v>
      </c>
    </row>
    <row r="3" spans="1:6">
      <c r="A3">
        <v>2</v>
      </c>
      <c r="B3">
        <v>8532</v>
      </c>
      <c r="C3">
        <v>1992</v>
      </c>
      <c r="D3">
        <v>0</v>
      </c>
      <c r="E3">
        <v>0</v>
      </c>
      <c r="F3" t="s">
        <v>6</v>
      </c>
    </row>
    <row r="4" spans="1:6">
      <c r="A4">
        <v>3</v>
      </c>
      <c r="B4">
        <v>8532</v>
      </c>
      <c r="C4">
        <v>1970</v>
      </c>
      <c r="D4">
        <v>0</v>
      </c>
      <c r="E4">
        <v>0</v>
      </c>
      <c r="F4" t="s">
        <v>6</v>
      </c>
    </row>
    <row r="5" spans="1:6" s="16" customFormat="1">
      <c r="A5" s="16">
        <v>4</v>
      </c>
      <c r="B5" s="18">
        <v>8507</v>
      </c>
      <c r="C5" s="16">
        <v>1970</v>
      </c>
      <c r="D5" s="16">
        <v>0</v>
      </c>
      <c r="E5" s="16">
        <v>0</v>
      </c>
      <c r="F5" s="16" t="s">
        <v>7</v>
      </c>
    </row>
    <row r="6" spans="1:6">
      <c r="A6">
        <v>5</v>
      </c>
      <c r="B6">
        <v>8532</v>
      </c>
      <c r="C6">
        <v>1970</v>
      </c>
      <c r="D6">
        <v>0</v>
      </c>
      <c r="E6">
        <v>0</v>
      </c>
      <c r="F6" t="s">
        <v>6</v>
      </c>
    </row>
    <row r="7" spans="1:6">
      <c r="A7">
        <v>6</v>
      </c>
      <c r="B7">
        <v>8532</v>
      </c>
      <c r="C7">
        <v>2000</v>
      </c>
      <c r="D7">
        <v>0</v>
      </c>
      <c r="E7">
        <v>0</v>
      </c>
      <c r="F7" t="s">
        <v>6</v>
      </c>
    </row>
    <row r="8" spans="1:6">
      <c r="A8">
        <v>7</v>
      </c>
      <c r="B8">
        <v>8532</v>
      </c>
      <c r="C8">
        <v>1970</v>
      </c>
      <c r="D8">
        <v>0</v>
      </c>
      <c r="E8">
        <v>0</v>
      </c>
      <c r="F8" t="s">
        <v>6</v>
      </c>
    </row>
    <row r="9" spans="1:6">
      <c r="A9">
        <v>8</v>
      </c>
      <c r="B9">
        <v>8532</v>
      </c>
      <c r="C9">
        <v>1970</v>
      </c>
      <c r="D9">
        <v>0</v>
      </c>
      <c r="E9">
        <v>0</v>
      </c>
      <c r="F9" t="s">
        <v>6</v>
      </c>
    </row>
    <row r="10" spans="1:6">
      <c r="A10">
        <v>9</v>
      </c>
      <c r="B10">
        <v>8532</v>
      </c>
      <c r="C10">
        <v>1970</v>
      </c>
      <c r="D10">
        <v>0</v>
      </c>
      <c r="E10">
        <v>0</v>
      </c>
      <c r="F10" t="s">
        <v>6</v>
      </c>
    </row>
    <row r="11" spans="1:6">
      <c r="A11">
        <v>10</v>
      </c>
      <c r="B11">
        <v>8532</v>
      </c>
      <c r="C11">
        <v>1970</v>
      </c>
      <c r="D11">
        <v>0</v>
      </c>
      <c r="E11">
        <v>0</v>
      </c>
      <c r="F11" t="s">
        <v>6</v>
      </c>
    </row>
    <row r="12" spans="1:6">
      <c r="A12">
        <v>11</v>
      </c>
      <c r="B12">
        <v>8532</v>
      </c>
      <c r="C12">
        <v>1970</v>
      </c>
      <c r="D12">
        <v>0</v>
      </c>
      <c r="E12">
        <v>0</v>
      </c>
      <c r="F12" t="s">
        <v>6</v>
      </c>
    </row>
    <row r="13" spans="1:6">
      <c r="A13">
        <v>12</v>
      </c>
      <c r="B13">
        <v>8532</v>
      </c>
      <c r="C13">
        <v>1970</v>
      </c>
      <c r="D13">
        <v>0</v>
      </c>
      <c r="E13">
        <v>0</v>
      </c>
      <c r="F13" t="s">
        <v>6</v>
      </c>
    </row>
    <row r="14" spans="1:6">
      <c r="A14">
        <v>13</v>
      </c>
      <c r="B14">
        <v>8532</v>
      </c>
      <c r="C14">
        <v>1970</v>
      </c>
      <c r="D14">
        <v>0</v>
      </c>
      <c r="E14">
        <v>0</v>
      </c>
      <c r="F14" t="s">
        <v>6</v>
      </c>
    </row>
    <row r="15" spans="1:6">
      <c r="A15">
        <v>14</v>
      </c>
      <c r="B15">
        <v>8532</v>
      </c>
      <c r="C15">
        <v>1970</v>
      </c>
      <c r="D15">
        <v>0</v>
      </c>
      <c r="E15">
        <v>0</v>
      </c>
      <c r="F15" t="s">
        <v>6</v>
      </c>
    </row>
    <row r="16" spans="1:6">
      <c r="A16">
        <v>15</v>
      </c>
      <c r="B16">
        <v>8532</v>
      </c>
      <c r="C16">
        <v>1970</v>
      </c>
      <c r="D16">
        <v>0</v>
      </c>
      <c r="E16">
        <v>0</v>
      </c>
      <c r="F16" t="s">
        <v>6</v>
      </c>
    </row>
    <row r="17" spans="1:6">
      <c r="A17">
        <v>16</v>
      </c>
      <c r="B17">
        <v>8532</v>
      </c>
      <c r="C17">
        <v>1970</v>
      </c>
      <c r="D17">
        <v>0</v>
      </c>
      <c r="E17">
        <v>0</v>
      </c>
      <c r="F17" t="s">
        <v>6</v>
      </c>
    </row>
    <row r="18" spans="1:6">
      <c r="A18">
        <v>21</v>
      </c>
      <c r="B18">
        <v>8532</v>
      </c>
      <c r="C18">
        <v>1990</v>
      </c>
      <c r="D18">
        <v>0</v>
      </c>
      <c r="E18">
        <v>0</v>
      </c>
      <c r="F18" t="s">
        <v>6</v>
      </c>
    </row>
    <row r="19" spans="1:6">
      <c r="A19">
        <v>22</v>
      </c>
      <c r="B19">
        <v>8532</v>
      </c>
      <c r="C19">
        <v>1990</v>
      </c>
      <c r="D19">
        <v>0</v>
      </c>
      <c r="E19">
        <v>0</v>
      </c>
      <c r="F19" t="s">
        <v>6</v>
      </c>
    </row>
    <row r="20" spans="1:6">
      <c r="A20">
        <v>23</v>
      </c>
      <c r="B20">
        <v>8532</v>
      </c>
      <c r="C20">
        <v>1990</v>
      </c>
      <c r="D20">
        <v>0</v>
      </c>
      <c r="E20">
        <v>0</v>
      </c>
      <c r="F20" t="s">
        <v>6</v>
      </c>
    </row>
    <row r="21" spans="1:6">
      <c r="A21">
        <v>24</v>
      </c>
      <c r="B21">
        <v>8532</v>
      </c>
      <c r="C21">
        <v>1990</v>
      </c>
      <c r="D21">
        <v>0</v>
      </c>
      <c r="E21">
        <v>0</v>
      </c>
      <c r="F21" t="s">
        <v>6</v>
      </c>
    </row>
    <row r="22" spans="1:6">
      <c r="A22">
        <v>25</v>
      </c>
      <c r="B22">
        <v>8532</v>
      </c>
      <c r="C22">
        <v>1990</v>
      </c>
      <c r="D22">
        <v>0</v>
      </c>
      <c r="E22">
        <v>0</v>
      </c>
      <c r="F22" t="s">
        <v>6</v>
      </c>
    </row>
    <row r="23" spans="1:6">
      <c r="A23">
        <v>26</v>
      </c>
      <c r="B23">
        <v>8532</v>
      </c>
      <c r="C23">
        <v>1990</v>
      </c>
      <c r="D23">
        <v>0</v>
      </c>
      <c r="E23">
        <v>0</v>
      </c>
      <c r="F23" t="s">
        <v>6</v>
      </c>
    </row>
    <row r="24" spans="1:6">
      <c r="A24">
        <v>27</v>
      </c>
      <c r="B24">
        <v>8532</v>
      </c>
      <c r="C24">
        <v>1990</v>
      </c>
      <c r="D24">
        <v>0</v>
      </c>
      <c r="E24">
        <v>0</v>
      </c>
      <c r="F24" t="s">
        <v>6</v>
      </c>
    </row>
    <row r="25" spans="1:6">
      <c r="A25">
        <v>28</v>
      </c>
      <c r="B25">
        <v>8532</v>
      </c>
      <c r="C25">
        <v>1990</v>
      </c>
      <c r="D25">
        <v>0</v>
      </c>
      <c r="E25">
        <v>0</v>
      </c>
      <c r="F25" t="s">
        <v>6</v>
      </c>
    </row>
    <row r="26" spans="1:6">
      <c r="A26">
        <v>29</v>
      </c>
      <c r="B26">
        <v>8532</v>
      </c>
      <c r="C26">
        <v>1990</v>
      </c>
      <c r="D26">
        <v>0</v>
      </c>
      <c r="E26">
        <v>0</v>
      </c>
      <c r="F26" t="s">
        <v>6</v>
      </c>
    </row>
    <row r="27" spans="1:6">
      <c r="A27">
        <v>30</v>
      </c>
      <c r="B27">
        <v>8532</v>
      </c>
      <c r="C27">
        <v>1990</v>
      </c>
      <c r="D27">
        <v>0</v>
      </c>
      <c r="E27">
        <v>0</v>
      </c>
      <c r="F27" t="s">
        <v>6</v>
      </c>
    </row>
    <row r="28" spans="1:6">
      <c r="A28">
        <v>31</v>
      </c>
      <c r="B28">
        <v>8532</v>
      </c>
      <c r="C28">
        <v>1990</v>
      </c>
      <c r="D28">
        <v>0</v>
      </c>
      <c r="E28">
        <v>0</v>
      </c>
      <c r="F28" t="s">
        <v>6</v>
      </c>
    </row>
    <row r="29" spans="1:6">
      <c r="A29">
        <v>32</v>
      </c>
      <c r="B29">
        <v>8532</v>
      </c>
      <c r="C29">
        <v>1990</v>
      </c>
      <c r="D29">
        <v>0</v>
      </c>
      <c r="E29">
        <v>0</v>
      </c>
      <c r="F29" t="s">
        <v>6</v>
      </c>
    </row>
    <row r="30" spans="1:6">
      <c r="A30">
        <v>33</v>
      </c>
      <c r="B30">
        <v>8532</v>
      </c>
      <c r="C30">
        <v>1990</v>
      </c>
      <c r="D30">
        <v>0</v>
      </c>
      <c r="E30">
        <v>0</v>
      </c>
      <c r="F30" t="s">
        <v>6</v>
      </c>
    </row>
    <row r="31" spans="1:6">
      <c r="A31">
        <v>34</v>
      </c>
      <c r="B31">
        <v>8532</v>
      </c>
      <c r="C31">
        <v>1990</v>
      </c>
      <c r="D31">
        <v>0</v>
      </c>
      <c r="E31">
        <v>0</v>
      </c>
      <c r="F3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21BF-3345-8E43-B920-A246747D8F60}">
  <dimension ref="A1:G31"/>
  <sheetViews>
    <sheetView topLeftCell="A7" zoomScale="158" zoomScaleNormal="90" workbookViewId="0">
      <selection activeCell="C31" sqref="C31"/>
    </sheetView>
  </sheetViews>
  <sheetFormatPr baseColWidth="10" defaultColWidth="11" defaultRowHeight="16"/>
  <cols>
    <col min="1" max="1" width="18.33203125" bestFit="1" customWidth="1"/>
    <col min="3" max="4" width="29" style="2" customWidth="1"/>
    <col min="5" max="5" width="23.5" style="1" customWidth="1"/>
    <col min="6" max="7" width="10.83203125" style="1"/>
  </cols>
  <sheetData>
    <row r="1" spans="1:5">
      <c r="A1" t="s">
        <v>8</v>
      </c>
      <c r="B1" t="s">
        <v>0</v>
      </c>
      <c r="C1" s="2" t="s">
        <v>9</v>
      </c>
      <c r="D1" s="2" t="s">
        <v>10</v>
      </c>
      <c r="E1" s="1" t="s">
        <v>11</v>
      </c>
    </row>
    <row r="2" spans="1:5">
      <c r="A2">
        <v>1</v>
      </c>
      <c r="B2">
        <v>1</v>
      </c>
      <c r="C2" s="11">
        <v>40909</v>
      </c>
      <c r="D2" s="11">
        <v>45657</v>
      </c>
      <c r="E2" s="1" t="s">
        <v>12</v>
      </c>
    </row>
    <row r="3" spans="1:5">
      <c r="A3">
        <v>2</v>
      </c>
      <c r="B3">
        <v>2</v>
      </c>
      <c r="C3" s="11">
        <v>40909</v>
      </c>
      <c r="D3" s="11">
        <v>45657</v>
      </c>
      <c r="E3" s="1" t="s">
        <v>12</v>
      </c>
    </row>
    <row r="4" spans="1:5">
      <c r="A4">
        <v>3</v>
      </c>
      <c r="B4">
        <v>3</v>
      </c>
      <c r="C4" s="11">
        <v>40909</v>
      </c>
      <c r="D4" s="11">
        <v>45657</v>
      </c>
      <c r="E4" s="1" t="s">
        <v>12</v>
      </c>
    </row>
    <row r="5" spans="1:5">
      <c r="A5">
        <v>4</v>
      </c>
      <c r="B5">
        <v>4</v>
      </c>
      <c r="C5" s="11">
        <v>40909</v>
      </c>
      <c r="D5" s="11">
        <v>45657</v>
      </c>
      <c r="E5" s="1" t="s">
        <v>12</v>
      </c>
    </row>
    <row r="6" spans="1:5">
      <c r="A6">
        <v>5</v>
      </c>
      <c r="B6">
        <v>5</v>
      </c>
      <c r="C6" s="11">
        <v>42005</v>
      </c>
      <c r="D6" s="11">
        <v>45657</v>
      </c>
      <c r="E6" s="1" t="s">
        <v>12</v>
      </c>
    </row>
    <row r="7" spans="1:5">
      <c r="A7">
        <v>6</v>
      </c>
      <c r="B7">
        <v>6</v>
      </c>
      <c r="C7" s="11">
        <v>40909</v>
      </c>
      <c r="D7" s="11">
        <v>45657</v>
      </c>
      <c r="E7" s="1" t="s">
        <v>12</v>
      </c>
    </row>
    <row r="8" spans="1:5">
      <c r="A8">
        <v>7</v>
      </c>
      <c r="B8">
        <v>7</v>
      </c>
      <c r="C8" s="11">
        <v>40909</v>
      </c>
      <c r="D8" s="11">
        <v>45657</v>
      </c>
      <c r="E8" s="1" t="s">
        <v>12</v>
      </c>
    </row>
    <row r="9" spans="1:5">
      <c r="A9">
        <v>8</v>
      </c>
      <c r="B9">
        <v>8</v>
      </c>
      <c r="C9" s="11">
        <v>40909</v>
      </c>
      <c r="D9" s="11">
        <v>45657</v>
      </c>
      <c r="E9" s="1" t="s">
        <v>12</v>
      </c>
    </row>
    <row r="10" spans="1:5">
      <c r="A10">
        <v>9</v>
      </c>
      <c r="B10">
        <v>9</v>
      </c>
      <c r="C10" s="11">
        <v>40909</v>
      </c>
      <c r="D10" s="11">
        <v>45657</v>
      </c>
      <c r="E10" s="1" t="s">
        <v>12</v>
      </c>
    </row>
    <row r="11" spans="1:5">
      <c r="A11">
        <v>10</v>
      </c>
      <c r="B11">
        <v>10</v>
      </c>
      <c r="C11" s="11">
        <v>40909</v>
      </c>
      <c r="D11" s="11">
        <v>45657</v>
      </c>
      <c r="E11" s="1" t="s">
        <v>12</v>
      </c>
    </row>
    <row r="12" spans="1:5">
      <c r="A12">
        <v>11</v>
      </c>
      <c r="B12">
        <v>11</v>
      </c>
      <c r="C12" s="11">
        <v>40909</v>
      </c>
      <c r="D12" s="11">
        <v>45657</v>
      </c>
      <c r="E12" s="1" t="s">
        <v>12</v>
      </c>
    </row>
    <row r="13" spans="1:5">
      <c r="A13">
        <v>12</v>
      </c>
      <c r="B13">
        <v>12</v>
      </c>
      <c r="C13" s="11">
        <v>40909</v>
      </c>
      <c r="D13" s="11">
        <v>45657</v>
      </c>
      <c r="E13" s="1" t="s">
        <v>12</v>
      </c>
    </row>
    <row r="14" spans="1:5">
      <c r="A14">
        <v>13</v>
      </c>
      <c r="B14">
        <v>13</v>
      </c>
      <c r="C14" s="11">
        <v>40909</v>
      </c>
      <c r="D14" s="11">
        <v>45657</v>
      </c>
      <c r="E14" s="1" t="s">
        <v>12</v>
      </c>
    </row>
    <row r="15" spans="1:5">
      <c r="A15">
        <v>14</v>
      </c>
      <c r="B15">
        <v>14</v>
      </c>
      <c r="C15" s="11">
        <v>40909</v>
      </c>
      <c r="D15" s="11">
        <v>45657</v>
      </c>
      <c r="E15" s="1" t="s">
        <v>12</v>
      </c>
    </row>
    <row r="16" spans="1:5">
      <c r="A16">
        <v>15</v>
      </c>
      <c r="B16">
        <v>15</v>
      </c>
      <c r="C16" s="11">
        <v>40909</v>
      </c>
      <c r="D16" s="11">
        <v>45657</v>
      </c>
      <c r="E16" s="1" t="s">
        <v>12</v>
      </c>
    </row>
    <row r="17" spans="1:5">
      <c r="A17">
        <v>16</v>
      </c>
      <c r="B17">
        <v>16</v>
      </c>
      <c r="C17" s="11">
        <v>40909</v>
      </c>
      <c r="D17" s="11">
        <v>45657</v>
      </c>
      <c r="E17" s="1" t="s">
        <v>12</v>
      </c>
    </row>
    <row r="18" spans="1:5">
      <c r="A18">
        <v>21</v>
      </c>
      <c r="B18">
        <v>21</v>
      </c>
      <c r="C18" s="11">
        <v>40909</v>
      </c>
      <c r="D18" s="11">
        <v>45657</v>
      </c>
      <c r="E18" s="1" t="s">
        <v>12</v>
      </c>
    </row>
    <row r="19" spans="1:5">
      <c r="A19">
        <v>22</v>
      </c>
      <c r="B19">
        <v>22</v>
      </c>
      <c r="C19" s="11">
        <v>40909</v>
      </c>
      <c r="D19" s="11">
        <v>45657</v>
      </c>
      <c r="E19" s="1" t="s">
        <v>12</v>
      </c>
    </row>
    <row r="20" spans="1:5">
      <c r="A20">
        <v>23</v>
      </c>
      <c r="B20">
        <v>23</v>
      </c>
      <c r="C20" s="11">
        <v>40909</v>
      </c>
      <c r="D20" s="11">
        <v>45657</v>
      </c>
      <c r="E20" s="1" t="s">
        <v>12</v>
      </c>
    </row>
    <row r="21" spans="1:5">
      <c r="A21">
        <v>24</v>
      </c>
      <c r="B21">
        <v>24</v>
      </c>
      <c r="C21" s="11">
        <v>40909</v>
      </c>
      <c r="D21" s="11">
        <v>45657</v>
      </c>
      <c r="E21" s="1" t="s">
        <v>12</v>
      </c>
    </row>
    <row r="22" spans="1:5">
      <c r="A22">
        <v>25</v>
      </c>
      <c r="B22">
        <v>25</v>
      </c>
      <c r="C22" s="11">
        <v>40909</v>
      </c>
      <c r="D22" s="11">
        <v>45657</v>
      </c>
      <c r="E22" s="1" t="s">
        <v>12</v>
      </c>
    </row>
    <row r="23" spans="1:5">
      <c r="A23">
        <v>26</v>
      </c>
      <c r="B23">
        <v>26</v>
      </c>
      <c r="C23" s="11">
        <v>40909</v>
      </c>
      <c r="D23" s="11">
        <v>45657</v>
      </c>
      <c r="E23" s="1" t="s">
        <v>12</v>
      </c>
    </row>
    <row r="24" spans="1:5">
      <c r="A24">
        <v>27</v>
      </c>
      <c r="B24">
        <v>27</v>
      </c>
      <c r="C24" s="11">
        <v>40909</v>
      </c>
      <c r="D24" s="11">
        <v>45657</v>
      </c>
      <c r="E24" s="1" t="s">
        <v>12</v>
      </c>
    </row>
    <row r="25" spans="1:5">
      <c r="A25">
        <v>28</v>
      </c>
      <c r="B25">
        <v>28</v>
      </c>
      <c r="C25" s="11">
        <v>40909</v>
      </c>
      <c r="D25" s="11">
        <v>45657</v>
      </c>
      <c r="E25" s="1" t="s">
        <v>12</v>
      </c>
    </row>
    <row r="26" spans="1:5">
      <c r="A26">
        <v>29</v>
      </c>
      <c r="B26">
        <v>29</v>
      </c>
      <c r="C26" s="11">
        <v>40909</v>
      </c>
      <c r="D26" s="11">
        <v>45657</v>
      </c>
      <c r="E26" s="1" t="s">
        <v>12</v>
      </c>
    </row>
    <row r="27" spans="1:5">
      <c r="A27">
        <v>30</v>
      </c>
      <c r="B27">
        <v>30</v>
      </c>
      <c r="C27" s="11">
        <v>40909</v>
      </c>
      <c r="D27" s="11">
        <v>45657</v>
      </c>
      <c r="E27" s="1" t="s">
        <v>12</v>
      </c>
    </row>
    <row r="28" spans="1:5">
      <c r="A28">
        <v>31</v>
      </c>
      <c r="B28">
        <v>31</v>
      </c>
      <c r="C28" s="11">
        <v>40909</v>
      </c>
      <c r="D28" s="11">
        <v>45657</v>
      </c>
      <c r="E28" s="1" t="s">
        <v>12</v>
      </c>
    </row>
    <row r="29" spans="1:5">
      <c r="A29">
        <v>32</v>
      </c>
      <c r="B29">
        <v>32</v>
      </c>
      <c r="C29" s="11">
        <v>40909</v>
      </c>
      <c r="D29" s="11">
        <v>45657</v>
      </c>
      <c r="E29" s="1" t="s">
        <v>12</v>
      </c>
    </row>
    <row r="30" spans="1:5">
      <c r="A30">
        <v>33</v>
      </c>
      <c r="B30">
        <v>33</v>
      </c>
      <c r="C30" s="11">
        <v>40909</v>
      </c>
      <c r="D30" s="11">
        <v>45657</v>
      </c>
      <c r="E30" s="1" t="s">
        <v>12</v>
      </c>
    </row>
    <row r="31" spans="1:5">
      <c r="A31">
        <v>34</v>
      </c>
      <c r="B31">
        <v>34</v>
      </c>
      <c r="C31" s="11">
        <v>40909</v>
      </c>
      <c r="D31" s="11">
        <v>45657</v>
      </c>
      <c r="E31" s="1" t="s">
        <v>12</v>
      </c>
    </row>
  </sheetData>
  <autoFilter ref="A1:E17" xr:uid="{F00E21BF-3345-8E43-B920-A246747D8F60}"/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AEDB-4FE7-8849-9EBA-5154A838789B}">
  <sheetPr filterMode="1"/>
  <dimension ref="A1:U59"/>
  <sheetViews>
    <sheetView tabSelected="1" workbookViewId="0">
      <selection activeCell="H14" sqref="H14"/>
    </sheetView>
  </sheetViews>
  <sheetFormatPr baseColWidth="10" defaultColWidth="11" defaultRowHeight="16"/>
  <cols>
    <col min="1" max="1" width="21" bestFit="1" customWidth="1"/>
    <col min="3" max="3" width="43.5" style="3" customWidth="1"/>
    <col min="4" max="4" width="20.5" customWidth="1"/>
    <col min="5" max="5" width="25" customWidth="1"/>
    <col min="6" max="6" width="34" customWidth="1"/>
    <col min="7" max="7" width="30.83203125" customWidth="1"/>
    <col min="8" max="8" width="58.5" customWidth="1"/>
    <col min="9" max="9" width="8.33203125" customWidth="1"/>
    <col min="10" max="10" width="12" customWidth="1"/>
    <col min="11" max="11" width="13" customWidth="1"/>
    <col min="12" max="12" width="15.33203125" customWidth="1"/>
  </cols>
  <sheetData>
    <row r="1" spans="1:21" s="5" customFormat="1" ht="34">
      <c r="A1" s="5" t="s">
        <v>13</v>
      </c>
      <c r="B1" s="5" t="s">
        <v>0</v>
      </c>
      <c r="C1" s="6" t="s">
        <v>14</v>
      </c>
      <c r="D1" s="5" t="s">
        <v>15</v>
      </c>
      <c r="E1" s="5" t="s">
        <v>16</v>
      </c>
      <c r="F1" s="5" t="s">
        <v>17</v>
      </c>
      <c r="G1" t="s">
        <v>18</v>
      </c>
      <c r="H1" s="5" t="s">
        <v>129</v>
      </c>
    </row>
    <row r="2" spans="1:21" s="5" customFormat="1">
      <c r="A2" s="3">
        <v>1</v>
      </c>
      <c r="B2" s="3">
        <v>1</v>
      </c>
      <c r="C2" s="12">
        <v>4185780</v>
      </c>
      <c r="D2" s="10">
        <v>42201</v>
      </c>
      <c r="E2" s="3">
        <v>32817</v>
      </c>
      <c r="F2" s="3">
        <v>0</v>
      </c>
      <c r="G2" s="3">
        <v>0</v>
      </c>
      <c r="H2" s="3" t="s">
        <v>19</v>
      </c>
    </row>
    <row r="3" spans="1:21" s="5" customFormat="1">
      <c r="A3" s="7">
        <v>2</v>
      </c>
      <c r="B3" s="7">
        <v>2</v>
      </c>
      <c r="C3" s="12">
        <v>4185780</v>
      </c>
      <c r="D3" s="10">
        <v>43662</v>
      </c>
      <c r="E3" s="7">
        <v>32817</v>
      </c>
      <c r="F3" s="7">
        <v>0</v>
      </c>
      <c r="G3" s="7">
        <v>0</v>
      </c>
      <c r="H3" s="3" t="s">
        <v>19</v>
      </c>
    </row>
    <row r="4" spans="1:21" s="5" customFormat="1">
      <c r="A4" s="3">
        <v>3</v>
      </c>
      <c r="B4" s="3">
        <v>3</v>
      </c>
      <c r="C4" s="12">
        <v>4185780</v>
      </c>
      <c r="D4" s="10">
        <v>41640</v>
      </c>
      <c r="E4" s="3">
        <v>32817</v>
      </c>
      <c r="F4" s="3">
        <v>0</v>
      </c>
      <c r="G4" s="3">
        <v>0</v>
      </c>
      <c r="H4" s="3" t="s">
        <v>19</v>
      </c>
    </row>
    <row r="5" spans="1:21" s="23" customFormat="1">
      <c r="A5" s="3">
        <v>4</v>
      </c>
      <c r="B5" s="3">
        <v>4</v>
      </c>
      <c r="C5" s="12">
        <v>4185780</v>
      </c>
      <c r="D5" s="10">
        <v>43113</v>
      </c>
      <c r="E5" s="3">
        <v>32817</v>
      </c>
      <c r="F5" s="3">
        <v>0</v>
      </c>
      <c r="G5" s="3">
        <v>0</v>
      </c>
      <c r="H5" s="3" t="s">
        <v>19</v>
      </c>
    </row>
    <row r="6" spans="1:21" s="23" customFormat="1">
      <c r="A6" s="7">
        <v>5</v>
      </c>
      <c r="B6" s="7">
        <v>5</v>
      </c>
      <c r="C6" s="12">
        <v>4185780</v>
      </c>
      <c r="D6" s="10">
        <v>43931</v>
      </c>
      <c r="E6" s="7">
        <v>32817</v>
      </c>
      <c r="F6" s="7">
        <v>0</v>
      </c>
      <c r="G6" s="7">
        <v>0</v>
      </c>
      <c r="H6" s="3" t="s">
        <v>19</v>
      </c>
    </row>
    <row r="7" spans="1:21" s="23" customFormat="1">
      <c r="A7" s="7">
        <v>6</v>
      </c>
      <c r="B7" s="7">
        <v>6</v>
      </c>
      <c r="C7" s="12">
        <v>4185780</v>
      </c>
      <c r="D7" s="10">
        <v>43466</v>
      </c>
      <c r="E7" s="7">
        <v>32817</v>
      </c>
      <c r="F7" s="7">
        <v>0</v>
      </c>
      <c r="G7" s="7">
        <v>0</v>
      </c>
      <c r="H7" s="3" t="s">
        <v>19</v>
      </c>
    </row>
    <row r="8" spans="1:21" ht="15" customHeight="1">
      <c r="A8" s="3">
        <v>7</v>
      </c>
      <c r="B8" s="3">
        <v>7</v>
      </c>
      <c r="C8" s="12">
        <v>4185780</v>
      </c>
      <c r="D8" s="10">
        <v>43132</v>
      </c>
      <c r="E8" s="3">
        <v>32817</v>
      </c>
      <c r="F8" s="3">
        <v>0</v>
      </c>
      <c r="G8" s="3">
        <v>0</v>
      </c>
      <c r="H8" s="3" t="s">
        <v>19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s="5" customFormat="1">
      <c r="A9" s="3">
        <v>8</v>
      </c>
      <c r="B9" s="3">
        <v>8</v>
      </c>
      <c r="C9" s="12">
        <v>4185780</v>
      </c>
      <c r="D9" s="10">
        <v>42028</v>
      </c>
      <c r="E9" s="3">
        <v>32817</v>
      </c>
      <c r="F9" s="3">
        <v>0</v>
      </c>
      <c r="G9" s="3">
        <v>0</v>
      </c>
      <c r="H9" s="3" t="s">
        <v>19</v>
      </c>
    </row>
    <row r="10" spans="1:21" s="5" customFormat="1">
      <c r="A10" s="3">
        <v>9</v>
      </c>
      <c r="B10" s="3">
        <v>9</v>
      </c>
      <c r="C10" s="12">
        <v>4185780</v>
      </c>
      <c r="D10" s="10">
        <v>43093</v>
      </c>
      <c r="E10" s="3">
        <v>32817</v>
      </c>
      <c r="F10" s="3">
        <v>0</v>
      </c>
      <c r="G10" s="3">
        <v>0</v>
      </c>
      <c r="H10" s="3" t="s">
        <v>19</v>
      </c>
    </row>
    <row r="11" spans="1:21">
      <c r="A11" s="3">
        <v>10</v>
      </c>
      <c r="B11" s="3">
        <v>10</v>
      </c>
      <c r="C11" s="12">
        <v>4185780</v>
      </c>
      <c r="D11" s="10">
        <v>43101</v>
      </c>
      <c r="E11" s="3">
        <v>32817</v>
      </c>
      <c r="F11" s="3">
        <v>0</v>
      </c>
      <c r="G11" s="3">
        <v>0</v>
      </c>
      <c r="H11" s="3" t="s">
        <v>19</v>
      </c>
    </row>
    <row r="12" spans="1:21">
      <c r="A12" s="3">
        <v>11</v>
      </c>
      <c r="B12" s="3">
        <v>11</v>
      </c>
      <c r="C12" s="12">
        <v>4185780</v>
      </c>
      <c r="D12" s="10">
        <v>43084</v>
      </c>
      <c r="E12" s="3">
        <v>32817</v>
      </c>
      <c r="F12" s="3">
        <v>0</v>
      </c>
      <c r="G12" s="3">
        <v>0</v>
      </c>
      <c r="H12" s="3" t="s">
        <v>19</v>
      </c>
    </row>
    <row r="13" spans="1:21">
      <c r="A13" s="3">
        <v>12001</v>
      </c>
      <c r="B13" s="3">
        <v>12</v>
      </c>
      <c r="C13" s="27">
        <v>4014295</v>
      </c>
      <c r="D13" s="10">
        <v>43084</v>
      </c>
      <c r="E13" s="3">
        <v>32817</v>
      </c>
      <c r="F13" s="3">
        <v>0</v>
      </c>
      <c r="G13" s="3">
        <v>0</v>
      </c>
      <c r="H13" s="3" t="s">
        <v>103</v>
      </c>
    </row>
    <row r="14" spans="1:21" ht="14" customHeight="1">
      <c r="A14" s="3">
        <v>12</v>
      </c>
      <c r="B14" s="3">
        <v>15</v>
      </c>
      <c r="C14" s="13">
        <v>4244438</v>
      </c>
      <c r="D14" s="10">
        <v>43084</v>
      </c>
      <c r="E14" s="3">
        <v>32817</v>
      </c>
      <c r="F14" s="3">
        <v>0</v>
      </c>
      <c r="G14" s="3">
        <v>0</v>
      </c>
      <c r="H14" s="3" t="s">
        <v>19</v>
      </c>
    </row>
    <row r="15" spans="1:21" ht="14" customHeight="1">
      <c r="A15" s="3">
        <v>13</v>
      </c>
      <c r="B15" s="3">
        <v>15</v>
      </c>
      <c r="C15" s="12">
        <v>4185780</v>
      </c>
      <c r="D15" s="10">
        <v>43084</v>
      </c>
      <c r="E15" s="3">
        <v>32817</v>
      </c>
      <c r="F15" s="3">
        <v>0</v>
      </c>
      <c r="G15" s="3">
        <v>0</v>
      </c>
      <c r="H15" s="3" t="s">
        <v>19</v>
      </c>
    </row>
    <row r="16" spans="1:21" ht="14" customHeight="1">
      <c r="A16" s="3">
        <v>14</v>
      </c>
      <c r="B16" s="3">
        <v>15</v>
      </c>
      <c r="C16" s="13">
        <v>435640</v>
      </c>
      <c r="D16" s="10">
        <v>43090</v>
      </c>
      <c r="E16" s="3">
        <v>32817</v>
      </c>
      <c r="F16" s="3">
        <v>0</v>
      </c>
      <c r="G16" s="3">
        <v>0</v>
      </c>
      <c r="H16" s="3" t="s">
        <v>20</v>
      </c>
    </row>
    <row r="17" spans="1:21" ht="14" customHeight="1">
      <c r="A17" s="3">
        <v>15</v>
      </c>
      <c r="B17" s="3">
        <v>15</v>
      </c>
      <c r="C17" s="12">
        <v>4185780</v>
      </c>
      <c r="D17" s="10">
        <v>43235</v>
      </c>
      <c r="E17" s="3">
        <v>32817</v>
      </c>
      <c r="F17" s="3">
        <v>0</v>
      </c>
      <c r="G17" s="3">
        <v>0</v>
      </c>
      <c r="H17" s="3" t="s">
        <v>19</v>
      </c>
    </row>
    <row r="18" spans="1:21">
      <c r="A18" s="3">
        <v>16</v>
      </c>
      <c r="B18" s="3">
        <v>15</v>
      </c>
      <c r="C18" s="13">
        <v>443213</v>
      </c>
      <c r="D18" s="10">
        <v>43099</v>
      </c>
      <c r="E18" s="3">
        <v>32817</v>
      </c>
      <c r="F18" s="3">
        <v>0</v>
      </c>
      <c r="G18" s="3">
        <v>0</v>
      </c>
      <c r="H18" s="3" t="s">
        <v>21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7">
      <c r="A19" s="3">
        <v>21</v>
      </c>
      <c r="B19" s="3">
        <v>21</v>
      </c>
      <c r="C19" s="27">
        <v>4014295</v>
      </c>
      <c r="D19" s="28">
        <v>45207</v>
      </c>
      <c r="E19" s="3">
        <v>32817</v>
      </c>
      <c r="F19" s="3">
        <v>0</v>
      </c>
      <c r="G19" s="3">
        <v>0</v>
      </c>
      <c r="H19" s="27" t="s">
        <v>103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s="5" customFormat="1" ht="17">
      <c r="A20" s="3">
        <v>22</v>
      </c>
      <c r="B20" s="3">
        <v>21</v>
      </c>
      <c r="C20" s="27">
        <v>4094910</v>
      </c>
      <c r="D20" s="28">
        <v>44958</v>
      </c>
      <c r="E20" s="3">
        <v>32817</v>
      </c>
      <c r="F20" s="3">
        <v>0</v>
      </c>
      <c r="G20" s="3">
        <v>0</v>
      </c>
      <c r="H20" s="27" t="s">
        <v>104</v>
      </c>
    </row>
    <row r="21" spans="1:21" ht="17">
      <c r="A21" s="3">
        <v>23</v>
      </c>
      <c r="B21" s="3">
        <v>22</v>
      </c>
      <c r="C21" s="27">
        <v>4014295</v>
      </c>
      <c r="D21" s="28">
        <v>44348</v>
      </c>
      <c r="E21" s="3">
        <v>32817</v>
      </c>
      <c r="F21" s="3">
        <v>0</v>
      </c>
      <c r="G21" s="3">
        <v>0</v>
      </c>
      <c r="H21" s="27" t="s">
        <v>103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s="5" customFormat="1" ht="17">
      <c r="A22" s="3">
        <v>24</v>
      </c>
      <c r="B22" s="3">
        <v>23</v>
      </c>
      <c r="C22" s="27">
        <v>4094910</v>
      </c>
      <c r="D22" s="28">
        <v>44954</v>
      </c>
      <c r="E22" s="3">
        <v>32817</v>
      </c>
      <c r="F22" s="3">
        <v>0</v>
      </c>
      <c r="G22" s="3">
        <v>0</v>
      </c>
      <c r="H22" s="27" t="s">
        <v>104</v>
      </c>
    </row>
    <row r="23" spans="1:21" ht="17">
      <c r="A23" s="3">
        <v>25</v>
      </c>
      <c r="B23" s="3">
        <v>23</v>
      </c>
      <c r="C23" s="27">
        <v>4051642</v>
      </c>
      <c r="D23" s="28">
        <v>45074</v>
      </c>
      <c r="E23" s="3">
        <v>32817</v>
      </c>
      <c r="F23" s="3">
        <v>0</v>
      </c>
      <c r="G23" s="3">
        <v>0</v>
      </c>
      <c r="H23" s="27" t="s">
        <v>115</v>
      </c>
    </row>
    <row r="24" spans="1:21" ht="17">
      <c r="A24" s="3">
        <v>26</v>
      </c>
      <c r="B24" s="3">
        <v>23</v>
      </c>
      <c r="C24" s="27">
        <v>442558</v>
      </c>
      <c r="D24" s="28">
        <v>45158</v>
      </c>
      <c r="E24" s="3">
        <v>32817</v>
      </c>
      <c r="F24" s="3">
        <v>0</v>
      </c>
      <c r="G24" s="3">
        <v>0</v>
      </c>
      <c r="H24" s="27" t="s">
        <v>116</v>
      </c>
    </row>
    <row r="25" spans="1:21">
      <c r="A25" s="3">
        <v>27</v>
      </c>
      <c r="B25" s="3">
        <v>23</v>
      </c>
      <c r="C25" s="27">
        <v>4014454</v>
      </c>
      <c r="D25" s="28">
        <v>45158</v>
      </c>
      <c r="E25" s="3">
        <v>32817</v>
      </c>
      <c r="F25" s="3">
        <v>0</v>
      </c>
      <c r="G25" s="3">
        <v>0</v>
      </c>
      <c r="H25" s="30" t="s">
        <v>117</v>
      </c>
    </row>
    <row r="26" spans="1:21">
      <c r="A26" s="3">
        <v>28</v>
      </c>
      <c r="B26">
        <v>21</v>
      </c>
      <c r="C26" s="12">
        <v>4185780</v>
      </c>
      <c r="D26" s="28">
        <v>45122</v>
      </c>
      <c r="E26" s="3">
        <v>32817</v>
      </c>
      <c r="F26" s="3">
        <v>0</v>
      </c>
      <c r="G26" s="3">
        <v>0</v>
      </c>
      <c r="H26" s="30" t="s">
        <v>19</v>
      </c>
    </row>
    <row r="27" spans="1:21" s="5" customFormat="1" ht="17">
      <c r="A27" s="3">
        <v>29</v>
      </c>
      <c r="B27" s="3">
        <v>24</v>
      </c>
      <c r="C27" s="27">
        <v>4094910</v>
      </c>
      <c r="D27" s="28">
        <v>44954</v>
      </c>
      <c r="E27" s="3">
        <v>32817</v>
      </c>
      <c r="F27" s="3">
        <v>0</v>
      </c>
      <c r="G27" s="3">
        <v>0</v>
      </c>
      <c r="H27" s="27" t="s">
        <v>104</v>
      </c>
    </row>
    <row r="28" spans="1:21" ht="17">
      <c r="A28" s="3">
        <v>30</v>
      </c>
      <c r="B28" s="3">
        <v>24</v>
      </c>
      <c r="C28" s="3">
        <v>4132434</v>
      </c>
      <c r="D28" s="28">
        <v>45000</v>
      </c>
      <c r="E28" s="3">
        <v>32817</v>
      </c>
      <c r="F28" s="3">
        <v>0</v>
      </c>
      <c r="G28" s="3">
        <v>0</v>
      </c>
      <c r="H28" s="27" t="s">
        <v>120</v>
      </c>
    </row>
    <row r="29" spans="1:21" ht="17">
      <c r="A29" s="3">
        <v>31</v>
      </c>
      <c r="B29" s="3">
        <v>24</v>
      </c>
      <c r="C29" s="27">
        <v>437611</v>
      </c>
      <c r="D29" s="28">
        <v>45000</v>
      </c>
      <c r="E29" s="3">
        <v>32817</v>
      </c>
      <c r="F29" s="3">
        <v>0</v>
      </c>
      <c r="G29" s="3">
        <v>0</v>
      </c>
      <c r="H29" s="27" t="s">
        <v>121</v>
      </c>
    </row>
    <row r="30" spans="1:21" s="5" customFormat="1" ht="17">
      <c r="A30" s="3">
        <v>32</v>
      </c>
      <c r="B30" s="3">
        <v>25</v>
      </c>
      <c r="C30" s="27">
        <v>4094910</v>
      </c>
      <c r="D30" s="28">
        <v>44525</v>
      </c>
      <c r="E30" s="3">
        <v>32817</v>
      </c>
      <c r="F30" s="3">
        <v>0</v>
      </c>
      <c r="G30" s="3">
        <v>0</v>
      </c>
      <c r="H30" s="27" t="s">
        <v>104</v>
      </c>
    </row>
    <row r="31" spans="1:21" ht="17">
      <c r="A31" s="3">
        <v>33</v>
      </c>
      <c r="B31" s="3">
        <v>25</v>
      </c>
      <c r="C31" s="3">
        <v>4132434</v>
      </c>
      <c r="D31" s="28">
        <v>44237</v>
      </c>
      <c r="E31" s="3">
        <v>32817</v>
      </c>
      <c r="F31" s="3">
        <v>0</v>
      </c>
      <c r="G31" s="3">
        <v>0</v>
      </c>
      <c r="H31" s="27" t="s">
        <v>122</v>
      </c>
    </row>
    <row r="32" spans="1:21" ht="17">
      <c r="A32" s="3">
        <v>34</v>
      </c>
      <c r="B32" s="3">
        <v>25</v>
      </c>
      <c r="C32" s="27">
        <v>4081422</v>
      </c>
      <c r="D32" s="28">
        <v>44237</v>
      </c>
      <c r="E32" s="3">
        <v>32817</v>
      </c>
      <c r="F32" s="3">
        <v>0</v>
      </c>
      <c r="G32" s="3">
        <v>0</v>
      </c>
      <c r="H32" s="27" t="s">
        <v>123</v>
      </c>
    </row>
    <row r="33" spans="1:8" s="5" customFormat="1" ht="17">
      <c r="A33" s="3">
        <v>35</v>
      </c>
      <c r="B33" s="3">
        <v>26</v>
      </c>
      <c r="C33" s="27">
        <v>4094910</v>
      </c>
      <c r="D33" s="28">
        <v>45184</v>
      </c>
      <c r="E33" s="3">
        <v>32817</v>
      </c>
      <c r="F33" s="3">
        <v>0</v>
      </c>
      <c r="G33" s="3">
        <v>0</v>
      </c>
      <c r="H33" s="27" t="s">
        <v>104</v>
      </c>
    </row>
    <row r="34" spans="1:8" ht="17">
      <c r="A34" s="3">
        <v>36</v>
      </c>
      <c r="B34" s="3">
        <v>26</v>
      </c>
      <c r="C34" s="27">
        <v>4132434</v>
      </c>
      <c r="D34" s="28">
        <v>45235</v>
      </c>
      <c r="E34" s="3">
        <v>32817</v>
      </c>
      <c r="F34" s="3">
        <v>0</v>
      </c>
      <c r="G34" s="3">
        <v>0</v>
      </c>
      <c r="H34" s="27" t="s">
        <v>120</v>
      </c>
    </row>
    <row r="35" spans="1:8" ht="17">
      <c r="A35" s="3">
        <v>37</v>
      </c>
      <c r="B35" s="3">
        <v>26</v>
      </c>
      <c r="C35" s="27">
        <v>45876808</v>
      </c>
      <c r="D35" s="28">
        <v>45235</v>
      </c>
      <c r="E35" s="3">
        <v>32817</v>
      </c>
      <c r="F35" s="3">
        <v>0</v>
      </c>
      <c r="G35" s="3">
        <v>0</v>
      </c>
      <c r="H35" s="27" t="s">
        <v>124</v>
      </c>
    </row>
    <row r="36" spans="1:8" s="5" customFormat="1" ht="17">
      <c r="A36" s="3">
        <v>38</v>
      </c>
      <c r="B36" s="3">
        <v>27</v>
      </c>
      <c r="C36" s="27">
        <v>4197245</v>
      </c>
      <c r="D36" s="28">
        <v>44290</v>
      </c>
      <c r="E36" s="3">
        <v>32817</v>
      </c>
      <c r="F36" s="3">
        <v>0</v>
      </c>
      <c r="G36" s="3">
        <v>0</v>
      </c>
      <c r="H36" s="27" t="s">
        <v>122</v>
      </c>
    </row>
    <row r="37" spans="1:8" ht="17">
      <c r="A37" s="3">
        <v>39</v>
      </c>
      <c r="B37" s="3">
        <v>27</v>
      </c>
      <c r="C37" s="27">
        <v>4051642</v>
      </c>
      <c r="D37" s="28">
        <v>44346</v>
      </c>
      <c r="E37" s="3">
        <v>32817</v>
      </c>
      <c r="F37" s="3">
        <v>0</v>
      </c>
      <c r="G37" s="3">
        <v>0</v>
      </c>
      <c r="H37" s="27" t="s">
        <v>115</v>
      </c>
    </row>
    <row r="38" spans="1:8" s="5" customFormat="1">
      <c r="A38" s="3">
        <v>40</v>
      </c>
      <c r="B38" s="3">
        <v>28</v>
      </c>
      <c r="C38" s="27">
        <v>4014295</v>
      </c>
      <c r="D38" s="28">
        <v>45170</v>
      </c>
      <c r="E38" s="3">
        <v>32817</v>
      </c>
      <c r="F38" s="3">
        <v>0</v>
      </c>
      <c r="G38" s="3">
        <v>0</v>
      </c>
      <c r="H38" s="31" t="s">
        <v>103</v>
      </c>
    </row>
    <row r="39" spans="1:8">
      <c r="A39" s="3">
        <v>41</v>
      </c>
      <c r="B39" s="3">
        <v>28</v>
      </c>
      <c r="C39" s="27">
        <v>444098</v>
      </c>
      <c r="D39" s="28">
        <v>45170</v>
      </c>
      <c r="E39" s="3">
        <v>32817</v>
      </c>
      <c r="F39" s="3">
        <v>0</v>
      </c>
      <c r="G39" s="3">
        <v>0</v>
      </c>
      <c r="H39" s="32" t="s">
        <v>126</v>
      </c>
    </row>
    <row r="40" spans="1:8">
      <c r="A40" s="3">
        <v>42</v>
      </c>
      <c r="B40" s="3">
        <v>28</v>
      </c>
      <c r="C40" s="27">
        <v>4094910</v>
      </c>
      <c r="D40" s="28">
        <v>45219</v>
      </c>
      <c r="E40" s="3">
        <v>32817</v>
      </c>
      <c r="F40" s="3">
        <v>0</v>
      </c>
      <c r="G40" s="3">
        <v>0</v>
      </c>
      <c r="H40" s="32" t="s">
        <v>104</v>
      </c>
    </row>
    <row r="41" spans="1:8" s="5" customFormat="1">
      <c r="A41" s="3">
        <v>43</v>
      </c>
      <c r="B41" s="3">
        <v>28</v>
      </c>
      <c r="C41" s="27">
        <v>45876808</v>
      </c>
      <c r="D41" s="28">
        <v>45270</v>
      </c>
      <c r="E41" s="3">
        <v>32817</v>
      </c>
      <c r="F41" s="3">
        <v>0</v>
      </c>
      <c r="G41" s="3">
        <v>0</v>
      </c>
      <c r="H41" s="32" t="s">
        <v>124</v>
      </c>
    </row>
    <row r="42" spans="1:8">
      <c r="A42" s="3">
        <v>44</v>
      </c>
      <c r="B42" s="3">
        <v>28</v>
      </c>
      <c r="C42" s="27">
        <v>4132434</v>
      </c>
      <c r="D42" s="28">
        <v>45270</v>
      </c>
      <c r="E42" s="3">
        <v>32817</v>
      </c>
      <c r="F42" s="3">
        <v>0</v>
      </c>
      <c r="G42" s="3">
        <v>0</v>
      </c>
      <c r="H42" s="32" t="s">
        <v>120</v>
      </c>
    </row>
    <row r="43" spans="1:8" ht="17">
      <c r="A43" s="3">
        <v>45</v>
      </c>
      <c r="B43" s="3">
        <v>29</v>
      </c>
      <c r="C43" s="27">
        <v>4014295</v>
      </c>
      <c r="D43" s="28">
        <v>45206</v>
      </c>
      <c r="E43" s="3">
        <v>32817</v>
      </c>
      <c r="F43" s="3">
        <v>0</v>
      </c>
      <c r="G43" s="3">
        <v>0</v>
      </c>
      <c r="H43" s="27" t="s">
        <v>103</v>
      </c>
    </row>
    <row r="44" spans="1:8" s="5" customFormat="1" ht="17">
      <c r="A44" s="3">
        <v>46</v>
      </c>
      <c r="B44" s="3">
        <v>29</v>
      </c>
      <c r="C44" s="27">
        <v>4014295</v>
      </c>
      <c r="D44" s="28">
        <v>45209</v>
      </c>
      <c r="E44" s="3">
        <v>32817</v>
      </c>
      <c r="F44" s="3">
        <v>0</v>
      </c>
      <c r="G44" s="3">
        <v>0</v>
      </c>
      <c r="H44" s="27" t="s">
        <v>103</v>
      </c>
    </row>
    <row r="45" spans="1:8" ht="17">
      <c r="A45" s="3">
        <v>47</v>
      </c>
      <c r="B45" s="3">
        <v>29</v>
      </c>
      <c r="C45" s="27">
        <v>444098</v>
      </c>
      <c r="D45" s="28">
        <v>45209</v>
      </c>
      <c r="E45" s="3">
        <v>32817</v>
      </c>
      <c r="F45" s="3">
        <v>0</v>
      </c>
      <c r="G45" s="3">
        <v>0</v>
      </c>
      <c r="H45" s="27" t="s">
        <v>126</v>
      </c>
    </row>
    <row r="46" spans="1:8" ht="17">
      <c r="A46" s="3">
        <v>48</v>
      </c>
      <c r="B46" s="3">
        <v>30</v>
      </c>
      <c r="C46" s="27">
        <v>45876808</v>
      </c>
      <c r="D46" s="28">
        <v>43405</v>
      </c>
      <c r="E46" s="3">
        <v>32817</v>
      </c>
      <c r="F46" s="3">
        <v>0</v>
      </c>
      <c r="G46" s="3">
        <v>0</v>
      </c>
      <c r="H46" s="27" t="s">
        <v>124</v>
      </c>
    </row>
    <row r="47" spans="1:8" s="5" customFormat="1" ht="17">
      <c r="A47" s="3">
        <v>49</v>
      </c>
      <c r="B47" s="3">
        <v>30</v>
      </c>
      <c r="C47" s="27">
        <v>4014295</v>
      </c>
      <c r="D47" s="28">
        <v>43435</v>
      </c>
      <c r="E47" s="3">
        <v>32817</v>
      </c>
      <c r="F47" s="3">
        <v>0</v>
      </c>
      <c r="G47" s="3">
        <v>0</v>
      </c>
      <c r="H47" s="27" t="s">
        <v>103</v>
      </c>
    </row>
    <row r="48" spans="1:8" ht="17">
      <c r="A48" s="3">
        <v>50</v>
      </c>
      <c r="B48" s="3">
        <v>30</v>
      </c>
      <c r="C48" s="27">
        <v>444098</v>
      </c>
      <c r="D48" s="28">
        <v>43435</v>
      </c>
      <c r="E48" s="3">
        <v>32817</v>
      </c>
      <c r="F48" s="3">
        <v>0</v>
      </c>
      <c r="G48" s="3">
        <v>0</v>
      </c>
      <c r="H48" s="27" t="s">
        <v>126</v>
      </c>
    </row>
    <row r="49" spans="1:8">
      <c r="A49" s="3">
        <v>51</v>
      </c>
      <c r="B49" s="3">
        <v>31</v>
      </c>
      <c r="C49" s="27">
        <v>4014295</v>
      </c>
      <c r="D49" s="28">
        <v>43405</v>
      </c>
      <c r="E49" s="3">
        <v>32817</v>
      </c>
      <c r="F49" s="3">
        <v>0</v>
      </c>
      <c r="G49" s="3">
        <v>0</v>
      </c>
      <c r="H49" s="31" t="s">
        <v>103</v>
      </c>
    </row>
    <row r="50" spans="1:8" s="5" customFormat="1">
      <c r="A50" s="3">
        <v>52</v>
      </c>
      <c r="B50" s="3">
        <v>31</v>
      </c>
      <c r="C50" s="13">
        <v>443213</v>
      </c>
      <c r="D50" s="28">
        <v>43435</v>
      </c>
      <c r="E50" s="3">
        <v>32817</v>
      </c>
      <c r="F50" s="3">
        <v>0</v>
      </c>
      <c r="G50" s="3">
        <v>0</v>
      </c>
      <c r="H50" s="3" t="s">
        <v>21</v>
      </c>
    </row>
    <row r="51" spans="1:8">
      <c r="A51" s="3">
        <v>53</v>
      </c>
      <c r="B51" s="3">
        <v>31</v>
      </c>
      <c r="C51" s="27">
        <v>444098</v>
      </c>
      <c r="D51" s="28">
        <v>43435</v>
      </c>
      <c r="E51" s="3">
        <v>32817</v>
      </c>
      <c r="F51" s="3">
        <v>0</v>
      </c>
      <c r="G51" s="3">
        <v>0</v>
      </c>
      <c r="H51" s="32" t="s">
        <v>126</v>
      </c>
    </row>
    <row r="52" spans="1:8">
      <c r="A52" s="3">
        <v>54</v>
      </c>
      <c r="B52" s="3">
        <v>32</v>
      </c>
      <c r="C52" s="27">
        <v>4051642</v>
      </c>
      <c r="D52" s="28">
        <v>45078</v>
      </c>
      <c r="E52" s="3">
        <v>32817</v>
      </c>
      <c r="F52" s="3">
        <v>0</v>
      </c>
      <c r="G52" s="3">
        <v>0</v>
      </c>
      <c r="H52" s="31" t="s">
        <v>115</v>
      </c>
    </row>
    <row r="53" spans="1:8" s="5" customFormat="1">
      <c r="A53" s="3">
        <v>55</v>
      </c>
      <c r="B53" s="3">
        <v>32</v>
      </c>
      <c r="C53" s="27">
        <v>4094910</v>
      </c>
      <c r="D53" s="28">
        <v>45228</v>
      </c>
      <c r="E53" s="3">
        <v>32817</v>
      </c>
      <c r="F53" s="3">
        <v>0</v>
      </c>
      <c r="G53" s="3">
        <v>0</v>
      </c>
      <c r="H53" s="32" t="s">
        <v>104</v>
      </c>
    </row>
    <row r="54" spans="1:8">
      <c r="A54" s="3">
        <v>56</v>
      </c>
      <c r="B54" s="3">
        <v>32</v>
      </c>
      <c r="C54" s="27">
        <v>4197245</v>
      </c>
      <c r="D54" s="28">
        <v>45306</v>
      </c>
      <c r="E54" s="3">
        <v>32817</v>
      </c>
      <c r="F54" s="3">
        <v>0</v>
      </c>
      <c r="G54" s="3">
        <v>0</v>
      </c>
      <c r="H54" s="32" t="s">
        <v>122</v>
      </c>
    </row>
    <row r="55" spans="1:8" s="5" customFormat="1" ht="17">
      <c r="A55" s="3">
        <v>57</v>
      </c>
      <c r="B55" s="3">
        <v>33</v>
      </c>
      <c r="C55" s="27">
        <v>4014295</v>
      </c>
      <c r="D55" s="28">
        <v>45108</v>
      </c>
      <c r="E55" s="3">
        <v>32817</v>
      </c>
      <c r="F55" s="3">
        <v>0</v>
      </c>
      <c r="G55" s="3">
        <v>0</v>
      </c>
      <c r="H55" s="27" t="s">
        <v>103</v>
      </c>
    </row>
    <row r="56" spans="1:8">
      <c r="A56" s="3">
        <v>58</v>
      </c>
      <c r="B56" s="3">
        <v>33</v>
      </c>
      <c r="C56" s="27">
        <v>4197245</v>
      </c>
      <c r="D56" s="28">
        <v>45108</v>
      </c>
      <c r="E56" s="3">
        <v>32817</v>
      </c>
      <c r="F56" s="3">
        <v>0</v>
      </c>
      <c r="G56" s="3">
        <v>0</v>
      </c>
      <c r="H56" s="32" t="s">
        <v>122</v>
      </c>
    </row>
    <row r="57" spans="1:8" ht="17">
      <c r="A57" s="3">
        <v>59</v>
      </c>
      <c r="B57" s="3">
        <v>34</v>
      </c>
      <c r="C57" s="27">
        <v>4094910</v>
      </c>
      <c r="D57" s="28">
        <v>45014</v>
      </c>
      <c r="E57" s="3">
        <v>32817</v>
      </c>
      <c r="F57" s="3">
        <v>0</v>
      </c>
      <c r="G57" s="3">
        <v>0</v>
      </c>
      <c r="H57" s="27" t="s">
        <v>104</v>
      </c>
    </row>
    <row r="58" spans="1:8" ht="17">
      <c r="A58" s="3">
        <v>64</v>
      </c>
      <c r="B58" s="3">
        <v>34</v>
      </c>
      <c r="C58" s="27">
        <v>4014295</v>
      </c>
      <c r="D58" s="28">
        <v>45280</v>
      </c>
      <c r="E58" s="3">
        <v>32817</v>
      </c>
      <c r="F58" s="3">
        <v>0</v>
      </c>
      <c r="G58" s="3">
        <v>0</v>
      </c>
      <c r="H58" s="27" t="s">
        <v>103</v>
      </c>
    </row>
    <row r="59" spans="1:8" s="5" customFormat="1" ht="17">
      <c r="A59" s="3">
        <v>65</v>
      </c>
      <c r="B59" s="3">
        <v>34</v>
      </c>
      <c r="C59" s="27">
        <v>444098</v>
      </c>
      <c r="D59" s="28">
        <v>45280</v>
      </c>
      <c r="E59" s="3">
        <v>32817</v>
      </c>
      <c r="F59" s="3">
        <v>0</v>
      </c>
      <c r="G59" s="3">
        <v>0</v>
      </c>
      <c r="H59" s="27" t="s">
        <v>126</v>
      </c>
    </row>
  </sheetData>
  <autoFilter ref="A1:H12" xr:uid="{556FAEDB-4FE7-8849-9EBA-5154A838789B}">
    <filterColumn colId="7">
      <filters>
        <filter val="Acute stress disorder"/>
        <filter val="anxiety disorder"/>
        <filter val="Insomnia"/>
      </filters>
    </filterColumn>
    <sortState xmlns:xlrd2="http://schemas.microsoft.com/office/spreadsheetml/2017/richdata2" ref="A2:H12">
      <sortCondition ref="A1:A12"/>
    </sortState>
  </autoFilter>
  <hyperlinks>
    <hyperlink ref="H25" r:id="rId1" location="/concept/4014454" display="https://atlas.darwin-eu.org/ - /concept/4014454" xr:uid="{874BD9EA-7709-D44B-8F16-6B0968A01621}"/>
    <hyperlink ref="H26" r:id="rId2" location="/concept/4185780" display="https://atlas.darwin-eu.org/ - /concept/4185780" xr:uid="{3DA91890-812D-DB45-9C13-5CEAD7D0749F}"/>
  </hyperlinks>
  <pageMargins left="0.7" right="0.7" top="0.75" bottom="0.75" header="0.3" footer="0.3"/>
  <pageSetup paperSize="9" orientation="portrait" horizontalDpi="200" verticalDpi="2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967C-EC28-FA45-AAB9-C2E48A95AEB8}">
  <dimension ref="A1:F2"/>
  <sheetViews>
    <sheetView workbookViewId="0">
      <selection activeCell="F8" sqref="F8"/>
    </sheetView>
  </sheetViews>
  <sheetFormatPr baseColWidth="10" defaultRowHeight="16"/>
  <cols>
    <col min="5" max="5" width="25.33203125" bestFit="1" customWidth="1"/>
    <col min="6" max="6" width="21.83203125" bestFit="1" customWidth="1"/>
  </cols>
  <sheetData>
    <row r="1" spans="1:6">
      <c r="A1" t="s">
        <v>108</v>
      </c>
      <c r="B1" t="s">
        <v>0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>
        <v>1</v>
      </c>
      <c r="B2">
        <v>22</v>
      </c>
      <c r="C2" s="27">
        <v>4192676</v>
      </c>
      <c r="D2" s="28">
        <v>44348</v>
      </c>
      <c r="E2">
        <v>32817</v>
      </c>
      <c r="F2" s="30" t="s">
        <v>119</v>
      </c>
    </row>
  </sheetData>
  <hyperlinks>
    <hyperlink ref="F2" r:id="rId1" location="/concept/4192676" display="https://atlas.darwin-eu.org/ - /concept/4192676" xr:uid="{286B33ED-7788-E843-B17B-8584680E1F3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5E38-DECC-8A44-B5EF-C13538335272}">
  <dimension ref="A1:F6"/>
  <sheetViews>
    <sheetView workbookViewId="0"/>
  </sheetViews>
  <sheetFormatPr baseColWidth="10" defaultRowHeight="16"/>
  <cols>
    <col min="1" max="1" width="15.1640625" bestFit="1" customWidth="1"/>
    <col min="4" max="4" width="14" bestFit="1" customWidth="1"/>
    <col min="5" max="5" width="24" bestFit="1" customWidth="1"/>
  </cols>
  <sheetData>
    <row r="1" spans="1:6">
      <c r="A1" t="s">
        <v>128</v>
      </c>
      <c r="B1" t="s">
        <v>0</v>
      </c>
      <c r="C1" t="s">
        <v>105</v>
      </c>
      <c r="D1" t="s">
        <v>106</v>
      </c>
      <c r="E1" t="s">
        <v>107</v>
      </c>
      <c r="F1" t="s">
        <v>127</v>
      </c>
    </row>
    <row r="2" spans="1:6">
      <c r="A2">
        <v>2</v>
      </c>
      <c r="B2">
        <v>22</v>
      </c>
      <c r="C2" s="13">
        <v>2211751</v>
      </c>
      <c r="D2" s="28">
        <v>44209</v>
      </c>
      <c r="E2">
        <v>32817</v>
      </c>
      <c r="F2" s="30" t="s">
        <v>118</v>
      </c>
    </row>
    <row r="3" spans="1:6">
      <c r="A3">
        <v>3</v>
      </c>
      <c r="B3">
        <v>23</v>
      </c>
      <c r="C3" s="27">
        <v>2211747</v>
      </c>
      <c r="D3" s="28">
        <v>44979</v>
      </c>
      <c r="E3">
        <v>32817</v>
      </c>
      <c r="F3" s="30" t="s">
        <v>114</v>
      </c>
    </row>
    <row r="4" spans="1:6">
      <c r="A4" s="3">
        <v>4</v>
      </c>
      <c r="B4" s="3">
        <v>27</v>
      </c>
      <c r="C4" s="27">
        <v>2211751</v>
      </c>
      <c r="D4" s="28">
        <v>44346</v>
      </c>
      <c r="E4" s="3">
        <v>32817</v>
      </c>
      <c r="F4" s="29" t="s">
        <v>125</v>
      </c>
    </row>
    <row r="5" spans="1:6" s="5" customFormat="1">
      <c r="A5" s="3">
        <v>5</v>
      </c>
      <c r="B5" s="3">
        <v>34</v>
      </c>
      <c r="C5" s="27">
        <v>2211747</v>
      </c>
      <c r="D5" s="28">
        <v>45070</v>
      </c>
      <c r="E5" s="3">
        <v>32817</v>
      </c>
      <c r="F5" s="29" t="s">
        <v>113</v>
      </c>
    </row>
    <row r="6" spans="1:6">
      <c r="A6" s="3">
        <v>6</v>
      </c>
      <c r="B6" s="3">
        <v>34</v>
      </c>
      <c r="C6" s="27">
        <v>2211751</v>
      </c>
      <c r="D6" s="28">
        <v>45150</v>
      </c>
      <c r="E6" s="3">
        <v>32817</v>
      </c>
      <c r="F6" s="29" t="s">
        <v>125</v>
      </c>
    </row>
  </sheetData>
  <hyperlinks>
    <hyperlink ref="F3" r:id="rId1" location="/concept/2211747" display="https://atlas.darwin-eu.org/ - /concept/2211747" xr:uid="{89C52AD5-15F6-6C4D-97F8-9BCE6319924F}"/>
    <hyperlink ref="F2" r:id="rId2" location="/concept/2211751" display="https://atlas.darwin-eu.org/ - /concept/2211751" xr:uid="{DBFBC6DA-9ECD-A143-B1B4-5FD1CAACC1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A2F6-3FDC-164F-B9B8-140301E5C5A8}">
  <dimension ref="A1:T12"/>
  <sheetViews>
    <sheetView workbookViewId="0">
      <selection activeCell="E18" sqref="E18"/>
    </sheetView>
  </sheetViews>
  <sheetFormatPr baseColWidth="10" defaultColWidth="11" defaultRowHeight="16"/>
  <cols>
    <col min="1" max="1" width="21.33203125" customWidth="1"/>
    <col min="2" max="2" width="20.33203125" customWidth="1"/>
    <col min="3" max="3" width="22.83203125" bestFit="1" customWidth="1"/>
    <col min="4" max="4" width="17.5" bestFit="1" customWidth="1"/>
    <col min="5" max="5" width="21.5" bestFit="1" customWidth="1"/>
    <col min="6" max="6" width="17.6640625" bestFit="1" customWidth="1"/>
    <col min="7" max="7" width="27.5" bestFit="1" customWidth="1"/>
    <col min="8" max="8" width="18.1640625" bestFit="1" customWidth="1"/>
    <col min="9" max="9" width="15.6640625" bestFit="1" customWidth="1"/>
    <col min="10" max="10" width="18.33203125" bestFit="1" customWidth="1"/>
    <col min="11" max="11" width="14.1640625" bestFit="1" customWidth="1"/>
    <col min="12" max="12" width="9.83203125" bestFit="1" customWidth="1"/>
    <col min="13" max="14" width="10.33203125" bestFit="1" customWidth="1"/>
    <col min="15" max="15" width="24.5" customWidth="1"/>
    <col min="16" max="16" width="12.83203125" bestFit="1" customWidth="1"/>
    <col min="17" max="17" width="24.6640625" bestFit="1" customWidth="1"/>
    <col min="18" max="18" width="29.33203125" bestFit="1" customWidth="1"/>
    <col min="19" max="19" width="16" bestFit="1" customWidth="1"/>
    <col min="20" max="20" width="19.6640625" bestFit="1" customWidth="1"/>
  </cols>
  <sheetData>
    <row r="1" spans="1:20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</row>
    <row r="2" spans="1:20">
      <c r="A2">
        <v>1</v>
      </c>
      <c r="B2">
        <v>1</v>
      </c>
      <c r="C2" s="12">
        <v>4185780</v>
      </c>
      <c r="D2" s="25">
        <v>42292</v>
      </c>
      <c r="E2" s="26">
        <v>42292.833333333336</v>
      </c>
      <c r="F2" t="s">
        <v>41</v>
      </c>
      <c r="G2">
        <v>32817</v>
      </c>
      <c r="H2" t="s">
        <v>41</v>
      </c>
      <c r="I2">
        <v>68</v>
      </c>
      <c r="J2">
        <v>0</v>
      </c>
      <c r="K2">
        <v>8876</v>
      </c>
      <c r="L2">
        <v>0</v>
      </c>
      <c r="M2">
        <v>12</v>
      </c>
      <c r="N2" t="s">
        <v>41</v>
      </c>
      <c r="O2">
        <v>1</v>
      </c>
      <c r="P2" t="s">
        <v>41</v>
      </c>
      <c r="Q2">
        <v>220181</v>
      </c>
      <c r="R2">
        <v>2000030007</v>
      </c>
      <c r="S2" t="s">
        <v>42</v>
      </c>
    </row>
    <row r="3" spans="1:20">
      <c r="A3">
        <v>2</v>
      </c>
      <c r="B3">
        <v>2</v>
      </c>
      <c r="C3" s="12">
        <v>4185780</v>
      </c>
      <c r="D3" s="25">
        <v>42221</v>
      </c>
      <c r="E3" s="26">
        <v>42221.236111111109</v>
      </c>
      <c r="F3" t="s">
        <v>41</v>
      </c>
      <c r="G3">
        <v>32856</v>
      </c>
      <c r="H3" t="s">
        <v>41</v>
      </c>
      <c r="I3">
        <v>22</v>
      </c>
      <c r="J3">
        <v>0</v>
      </c>
      <c r="K3">
        <v>8876</v>
      </c>
      <c r="L3">
        <v>0</v>
      </c>
      <c r="M3">
        <v>10</v>
      </c>
      <c r="N3" t="s">
        <v>41</v>
      </c>
      <c r="O3">
        <v>2</v>
      </c>
      <c r="P3" t="s">
        <v>41</v>
      </c>
      <c r="Q3">
        <v>50887</v>
      </c>
      <c r="R3">
        <v>2000030007</v>
      </c>
    </row>
    <row r="4" spans="1:20">
      <c r="A4">
        <v>3</v>
      </c>
      <c r="B4">
        <v>3</v>
      </c>
      <c r="C4" s="12">
        <v>4185780</v>
      </c>
      <c r="D4" s="25">
        <v>42321</v>
      </c>
      <c r="E4" s="26">
        <v>42321.90902777778</v>
      </c>
      <c r="F4" t="s">
        <v>41</v>
      </c>
      <c r="G4">
        <v>32856</v>
      </c>
      <c r="H4" t="s">
        <v>41</v>
      </c>
      <c r="I4" t="s">
        <v>43</v>
      </c>
      <c r="J4">
        <v>0</v>
      </c>
      <c r="K4">
        <v>9557</v>
      </c>
      <c r="L4" t="s">
        <v>44</v>
      </c>
      <c r="M4" t="s">
        <v>45</v>
      </c>
      <c r="N4" t="s">
        <v>41</v>
      </c>
      <c r="O4">
        <v>3</v>
      </c>
      <c r="P4" t="s">
        <v>41</v>
      </c>
      <c r="Q4">
        <v>50971</v>
      </c>
      <c r="R4">
        <v>3023103</v>
      </c>
      <c r="S4" t="s">
        <v>46</v>
      </c>
      <c r="T4" t="s">
        <v>43</v>
      </c>
    </row>
    <row r="5" spans="1:20">
      <c r="A5">
        <v>4</v>
      </c>
      <c r="B5">
        <v>4</v>
      </c>
      <c r="C5" s="12">
        <v>4185780</v>
      </c>
      <c r="D5" s="25">
        <v>42062</v>
      </c>
      <c r="E5" s="26">
        <v>42062.625</v>
      </c>
      <c r="F5" t="s">
        <v>41</v>
      </c>
      <c r="G5">
        <v>32817</v>
      </c>
      <c r="H5" t="s">
        <v>41</v>
      </c>
      <c r="I5" t="s">
        <v>47</v>
      </c>
      <c r="J5">
        <v>0</v>
      </c>
      <c r="K5">
        <v>8840</v>
      </c>
      <c r="L5">
        <v>0</v>
      </c>
      <c r="M5">
        <v>99</v>
      </c>
      <c r="N5" t="s">
        <v>41</v>
      </c>
      <c r="O5">
        <v>4</v>
      </c>
      <c r="P5" t="s">
        <v>41</v>
      </c>
      <c r="Q5">
        <v>220615</v>
      </c>
      <c r="R5">
        <v>2000030068</v>
      </c>
      <c r="S5" t="s">
        <v>48</v>
      </c>
    </row>
    <row r="6" spans="1:20">
      <c r="A6">
        <v>5</v>
      </c>
      <c r="B6">
        <v>5</v>
      </c>
      <c r="C6" s="12">
        <v>4185780</v>
      </c>
      <c r="D6" s="25">
        <v>42266</v>
      </c>
      <c r="E6" s="26">
        <v>42266.875</v>
      </c>
      <c r="F6" t="s">
        <v>41</v>
      </c>
      <c r="G6">
        <v>32817</v>
      </c>
      <c r="H6" t="s">
        <v>41</v>
      </c>
      <c r="I6">
        <v>12</v>
      </c>
      <c r="J6">
        <v>0</v>
      </c>
      <c r="K6">
        <v>8876</v>
      </c>
      <c r="L6">
        <v>0</v>
      </c>
      <c r="M6">
        <v>99</v>
      </c>
      <c r="N6" t="s">
        <v>41</v>
      </c>
      <c r="O6">
        <v>5</v>
      </c>
      <c r="P6" t="s">
        <v>41</v>
      </c>
      <c r="Q6">
        <v>220074</v>
      </c>
      <c r="R6">
        <v>2000030044</v>
      </c>
      <c r="S6" t="s">
        <v>42</v>
      </c>
    </row>
    <row r="7" spans="1:20">
      <c r="A7">
        <v>6</v>
      </c>
      <c r="B7">
        <v>6</v>
      </c>
      <c r="C7" s="12">
        <v>4185780</v>
      </c>
      <c r="D7" s="25">
        <v>42049</v>
      </c>
      <c r="E7" s="26">
        <v>42049.977777777778</v>
      </c>
      <c r="F7" t="s">
        <v>41</v>
      </c>
      <c r="G7">
        <v>32856</v>
      </c>
      <c r="H7" t="s">
        <v>41</v>
      </c>
      <c r="I7" t="s">
        <v>49</v>
      </c>
      <c r="J7">
        <v>0</v>
      </c>
      <c r="K7">
        <v>8554</v>
      </c>
      <c r="L7">
        <v>36</v>
      </c>
      <c r="M7">
        <v>48</v>
      </c>
      <c r="N7" t="s">
        <v>41</v>
      </c>
      <c r="O7">
        <v>6</v>
      </c>
      <c r="P7" t="s">
        <v>41</v>
      </c>
      <c r="Q7">
        <v>51221</v>
      </c>
      <c r="R7">
        <v>3023314</v>
      </c>
      <c r="S7" t="s">
        <v>50</v>
      </c>
      <c r="T7" t="s">
        <v>49</v>
      </c>
    </row>
    <row r="8" spans="1:20">
      <c r="A8">
        <v>7</v>
      </c>
      <c r="B8">
        <v>7</v>
      </c>
      <c r="C8" s="12">
        <v>4185780</v>
      </c>
      <c r="D8" s="25">
        <v>42321</v>
      </c>
      <c r="E8" s="26">
        <v>42321.334722222222</v>
      </c>
      <c r="F8" t="s">
        <v>41</v>
      </c>
      <c r="G8">
        <v>32817</v>
      </c>
      <c r="H8" t="s">
        <v>41</v>
      </c>
      <c r="I8">
        <v>70</v>
      </c>
      <c r="J8">
        <v>0</v>
      </c>
      <c r="K8">
        <v>8876</v>
      </c>
      <c r="L8">
        <v>1</v>
      </c>
      <c r="M8">
        <v>77</v>
      </c>
      <c r="N8" t="s">
        <v>41</v>
      </c>
      <c r="O8">
        <v>7</v>
      </c>
      <c r="P8" t="s">
        <v>41</v>
      </c>
      <c r="Q8">
        <v>220181</v>
      </c>
      <c r="R8">
        <v>2000030007</v>
      </c>
      <c r="S8" t="s">
        <v>42</v>
      </c>
    </row>
    <row r="9" spans="1:20">
      <c r="A9">
        <v>8</v>
      </c>
      <c r="B9">
        <v>8</v>
      </c>
      <c r="C9" s="12">
        <v>4185780</v>
      </c>
      <c r="D9" s="25">
        <v>42091</v>
      </c>
      <c r="E9" s="26">
        <v>42091.333333333336</v>
      </c>
      <c r="F9" t="s">
        <v>41</v>
      </c>
      <c r="G9">
        <v>32817</v>
      </c>
      <c r="H9" t="s">
        <v>41</v>
      </c>
      <c r="I9">
        <v>2</v>
      </c>
      <c r="J9">
        <v>0</v>
      </c>
      <c r="K9">
        <v>8876</v>
      </c>
      <c r="L9">
        <v>1</v>
      </c>
      <c r="M9">
        <v>98</v>
      </c>
      <c r="N9" t="s">
        <v>41</v>
      </c>
      <c r="O9">
        <v>8</v>
      </c>
      <c r="P9" t="s">
        <v>41</v>
      </c>
      <c r="Q9">
        <v>224056</v>
      </c>
      <c r="R9">
        <v>2000030040</v>
      </c>
    </row>
    <row r="10" spans="1:20">
      <c r="A10">
        <v>9</v>
      </c>
      <c r="B10">
        <v>9</v>
      </c>
      <c r="C10" s="12">
        <v>4185780</v>
      </c>
      <c r="D10" s="25">
        <v>42193</v>
      </c>
      <c r="E10" s="26">
        <v>42193.833333333336</v>
      </c>
      <c r="F10" t="s">
        <v>41</v>
      </c>
      <c r="G10">
        <v>32817</v>
      </c>
      <c r="H10" t="s">
        <v>41</v>
      </c>
      <c r="I10">
        <v>111</v>
      </c>
      <c r="J10">
        <v>0</v>
      </c>
      <c r="K10">
        <v>8876</v>
      </c>
      <c r="L10">
        <v>1</v>
      </c>
      <c r="M10">
        <v>99</v>
      </c>
      <c r="N10" t="s">
        <v>41</v>
      </c>
      <c r="O10">
        <v>9</v>
      </c>
      <c r="P10" t="s">
        <v>41</v>
      </c>
      <c r="Q10">
        <v>224005</v>
      </c>
      <c r="R10">
        <v>2000030076</v>
      </c>
      <c r="T10" t="s">
        <v>51</v>
      </c>
    </row>
    <row r="11" spans="1:20">
      <c r="A11">
        <v>10</v>
      </c>
      <c r="B11">
        <v>21</v>
      </c>
      <c r="C11" s="33">
        <v>3036000</v>
      </c>
      <c r="D11" s="34">
        <v>45179</v>
      </c>
      <c r="G11">
        <v>32817</v>
      </c>
      <c r="T11" t="s">
        <v>51</v>
      </c>
    </row>
    <row r="12" spans="1:20" s="5" customFormat="1">
      <c r="A12" s="3">
        <v>62</v>
      </c>
      <c r="B12" s="3">
        <v>34</v>
      </c>
      <c r="C12" s="33">
        <v>3036000</v>
      </c>
      <c r="D12" s="34">
        <v>45260</v>
      </c>
      <c r="E12" s="3"/>
      <c r="F12" s="3"/>
      <c r="G12" s="3"/>
      <c r="H12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2673-6C55-0647-B7D5-2D52F4AD24C9}">
  <dimension ref="A1:Z47"/>
  <sheetViews>
    <sheetView zoomScale="111" workbookViewId="0">
      <selection activeCell="A9" sqref="A9"/>
    </sheetView>
  </sheetViews>
  <sheetFormatPr baseColWidth="10" defaultColWidth="11" defaultRowHeight="16"/>
  <cols>
    <col min="1" max="1" width="19" style="7" customWidth="1"/>
    <col min="2" max="2" width="11" style="7"/>
    <col min="3" max="3" width="21.33203125" style="7" customWidth="1"/>
    <col min="4" max="4" width="11" style="7"/>
    <col min="5" max="5" width="16.5" style="7" customWidth="1"/>
    <col min="6" max="6" width="23" style="7" customWidth="1"/>
    <col min="7" max="7" width="24" style="7" customWidth="1"/>
    <col min="8" max="8" width="21.33203125" style="7" customWidth="1"/>
    <col min="9" max="16384" width="11" style="7"/>
  </cols>
  <sheetData>
    <row r="1" spans="1:13">
      <c r="A1" s="7" t="s">
        <v>52</v>
      </c>
      <c r="B1" s="7" t="s">
        <v>0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</row>
    <row r="2" spans="1:13">
      <c r="A2" s="7">
        <v>1</v>
      </c>
      <c r="B2" s="7">
        <v>1</v>
      </c>
      <c r="C2" s="21">
        <v>798877</v>
      </c>
      <c r="D2" s="7">
        <v>21</v>
      </c>
      <c r="E2" s="7">
        <f t="shared" ref="E2:E8" si="0">G2-F2</f>
        <v>304</v>
      </c>
      <c r="F2" s="10">
        <v>43466</v>
      </c>
      <c r="G2" s="10">
        <v>43770</v>
      </c>
      <c r="H2">
        <v>32838</v>
      </c>
      <c r="J2" s="7">
        <f>G2-F2</f>
        <v>304</v>
      </c>
    </row>
    <row r="3" spans="1:13">
      <c r="A3" s="7">
        <v>2</v>
      </c>
      <c r="B3" s="7">
        <v>1</v>
      </c>
      <c r="C3" s="21">
        <v>798877</v>
      </c>
      <c r="D3" s="7">
        <v>21</v>
      </c>
      <c r="E3" s="7">
        <f t="shared" si="0"/>
        <v>73</v>
      </c>
      <c r="F3" s="10">
        <v>43831</v>
      </c>
      <c r="G3" s="10">
        <v>43904</v>
      </c>
      <c r="H3">
        <v>32838</v>
      </c>
      <c r="J3" s="7">
        <f t="shared" ref="J3:J4" si="1">G3-F3</f>
        <v>73</v>
      </c>
      <c r="L3" s="9"/>
      <c r="M3" s="9"/>
    </row>
    <row r="4" spans="1:13">
      <c r="A4" s="7">
        <v>3</v>
      </c>
      <c r="B4" s="7">
        <v>1</v>
      </c>
      <c r="C4" s="21">
        <v>798877</v>
      </c>
      <c r="D4" s="7">
        <v>21</v>
      </c>
      <c r="E4" s="7">
        <f t="shared" si="0"/>
        <v>70</v>
      </c>
      <c r="F4" s="10">
        <v>43956</v>
      </c>
      <c r="G4" s="10">
        <v>44026</v>
      </c>
      <c r="H4">
        <v>32838</v>
      </c>
      <c r="J4" s="7">
        <f t="shared" si="1"/>
        <v>70</v>
      </c>
      <c r="L4" s="9"/>
      <c r="M4" s="9"/>
    </row>
    <row r="5" spans="1:13">
      <c r="A5" s="7">
        <v>4</v>
      </c>
      <c r="B5" s="7">
        <v>2</v>
      </c>
      <c r="C5" s="21">
        <v>798877</v>
      </c>
      <c r="D5" s="7">
        <v>21</v>
      </c>
      <c r="E5" s="7">
        <f t="shared" si="0"/>
        <v>70</v>
      </c>
      <c r="F5" s="10">
        <v>43956</v>
      </c>
      <c r="G5" s="10">
        <v>44026</v>
      </c>
      <c r="H5">
        <v>32838</v>
      </c>
      <c r="J5" s="7">
        <f>G5-F5</f>
        <v>70</v>
      </c>
      <c r="L5" s="9"/>
      <c r="M5" s="9"/>
    </row>
    <row r="6" spans="1:13">
      <c r="A6" s="7">
        <v>5</v>
      </c>
      <c r="B6" s="7">
        <v>8</v>
      </c>
      <c r="C6" s="15">
        <v>715939</v>
      </c>
      <c r="D6" s="7">
        <v>21</v>
      </c>
      <c r="E6" s="7">
        <f t="shared" si="0"/>
        <v>70</v>
      </c>
      <c r="F6" s="10">
        <v>43956</v>
      </c>
      <c r="G6" s="10">
        <v>44026</v>
      </c>
      <c r="H6">
        <v>32838</v>
      </c>
      <c r="J6" s="7">
        <f>G6-F6</f>
        <v>70</v>
      </c>
      <c r="L6" s="9"/>
      <c r="M6" s="9"/>
    </row>
    <row r="7" spans="1:13">
      <c r="A7" s="3">
        <v>6</v>
      </c>
      <c r="B7" s="3">
        <v>9</v>
      </c>
      <c r="C7" s="15">
        <v>723164</v>
      </c>
      <c r="D7" s="7">
        <v>21</v>
      </c>
      <c r="E7" s="7">
        <f t="shared" si="0"/>
        <v>70</v>
      </c>
      <c r="F7" s="10">
        <v>43956</v>
      </c>
      <c r="G7" s="10">
        <v>44026</v>
      </c>
      <c r="H7">
        <v>32838</v>
      </c>
      <c r="L7" s="9"/>
      <c r="M7" s="9"/>
    </row>
    <row r="8" spans="1:13" customFormat="1">
      <c r="A8" s="3">
        <v>7</v>
      </c>
      <c r="B8" s="3">
        <v>34</v>
      </c>
      <c r="C8" s="13">
        <v>4147892</v>
      </c>
      <c r="D8" s="7">
        <v>21</v>
      </c>
      <c r="E8" s="7">
        <f t="shared" si="0"/>
        <v>4</v>
      </c>
      <c r="F8" s="28">
        <v>45210</v>
      </c>
      <c r="G8" s="28">
        <v>45214</v>
      </c>
      <c r="H8">
        <v>32838</v>
      </c>
    </row>
    <row r="9" spans="1:13">
      <c r="A9" s="3"/>
      <c r="B9" s="3"/>
      <c r="C9" s="3"/>
      <c r="D9" s="3"/>
      <c r="E9" s="3"/>
      <c r="F9" s="24"/>
      <c r="G9" s="24"/>
      <c r="H9"/>
      <c r="L9" s="9"/>
      <c r="M9" s="9"/>
    </row>
    <row r="10" spans="1:13">
      <c r="A10" s="3"/>
      <c r="B10" s="3"/>
      <c r="C10" s="3"/>
      <c r="D10" s="3"/>
      <c r="E10" s="3"/>
      <c r="F10" s="24"/>
      <c r="G10" s="24"/>
      <c r="H10"/>
    </row>
    <row r="11" spans="1:13">
      <c r="A11" s="3"/>
      <c r="B11" s="3"/>
      <c r="C11" s="3"/>
      <c r="D11" s="3"/>
      <c r="E11" s="3"/>
      <c r="F11" s="24"/>
      <c r="G11" s="24"/>
      <c r="H11"/>
    </row>
    <row r="12" spans="1:13">
      <c r="A12" s="3"/>
      <c r="B12" s="3"/>
      <c r="C12" s="3"/>
      <c r="D12" s="3"/>
      <c r="E12" s="3"/>
      <c r="F12" s="24"/>
      <c r="G12" s="24"/>
      <c r="H12"/>
    </row>
    <row r="13" spans="1:13">
      <c r="A13" s="3"/>
      <c r="B13" s="3"/>
      <c r="C13" s="3"/>
      <c r="D13" s="3"/>
      <c r="E13" s="3"/>
      <c r="F13" s="24"/>
      <c r="G13" s="24"/>
      <c r="H13"/>
    </row>
    <row r="14" spans="1:13">
      <c r="A14" s="3"/>
      <c r="B14" s="3"/>
      <c r="C14" s="3"/>
      <c r="D14" s="3"/>
      <c r="E14" s="3"/>
      <c r="F14" s="4"/>
      <c r="G14" s="4"/>
      <c r="H14" s="3"/>
    </row>
    <row r="15" spans="1:13">
      <c r="F15" s="8"/>
      <c r="G15" s="8"/>
    </row>
    <row r="16" spans="1:13">
      <c r="F16" s="8"/>
      <c r="G16" s="8"/>
    </row>
    <row r="17" spans="6:26">
      <c r="F17" s="8"/>
      <c r="G17" s="8"/>
    </row>
    <row r="18" spans="6:26">
      <c r="F18" s="8"/>
      <c r="G18" s="8"/>
    </row>
    <row r="19" spans="6:26">
      <c r="F19" s="10"/>
      <c r="G19" s="10"/>
    </row>
    <row r="20" spans="6:26">
      <c r="F20" s="8"/>
      <c r="G20" s="8"/>
    </row>
    <row r="21" spans="6:26">
      <c r="F21" s="8"/>
      <c r="G21" s="8"/>
    </row>
    <row r="22" spans="6:26">
      <c r="F22" s="8"/>
      <c r="G22" s="8"/>
    </row>
    <row r="23" spans="6:26">
      <c r="F23" s="8"/>
      <c r="G23" s="8"/>
    </row>
    <row r="24" spans="6:26">
      <c r="F24" s="8"/>
      <c r="G24" s="8"/>
    </row>
    <row r="25" spans="6:26">
      <c r="F25" s="8"/>
      <c r="G25" s="8"/>
      <c r="Y25" s="10"/>
      <c r="Z25" s="10"/>
    </row>
    <row r="26" spans="6:26">
      <c r="F26" s="8"/>
      <c r="G26" s="8"/>
      <c r="Y26" s="10"/>
      <c r="Z26" s="10"/>
    </row>
    <row r="27" spans="6:26">
      <c r="F27" s="10"/>
      <c r="G27" s="10"/>
      <c r="Y27" s="10"/>
      <c r="Z27" s="10"/>
    </row>
    <row r="28" spans="6:26">
      <c r="F28" s="10"/>
      <c r="G28" s="10"/>
    </row>
    <row r="29" spans="6:26">
      <c r="F29" s="10"/>
      <c r="G29" s="10"/>
    </row>
    <row r="30" spans="6:26">
      <c r="F30" s="8"/>
      <c r="G30" s="8"/>
    </row>
    <row r="31" spans="6:26">
      <c r="F31" s="8"/>
      <c r="G31" s="8"/>
    </row>
    <row r="32" spans="6:26">
      <c r="F32" s="8"/>
      <c r="G32" s="8"/>
    </row>
    <row r="33" spans="6:7">
      <c r="F33" s="8"/>
      <c r="G33" s="8"/>
    </row>
    <row r="34" spans="6:7">
      <c r="F34" s="8"/>
      <c r="G34" s="8"/>
    </row>
    <row r="35" spans="6:7">
      <c r="F35" s="8"/>
      <c r="G35" s="8"/>
    </row>
    <row r="36" spans="6:7">
      <c r="F36" s="8"/>
      <c r="G36" s="8"/>
    </row>
    <row r="37" spans="6:7">
      <c r="F37" s="8"/>
      <c r="G37" s="8"/>
    </row>
    <row r="38" spans="6:7">
      <c r="F38" s="8"/>
      <c r="G38" s="8"/>
    </row>
    <row r="39" spans="6:7">
      <c r="F39" s="8"/>
      <c r="G39" s="8"/>
    </row>
    <row r="40" spans="6:7">
      <c r="F40" s="8"/>
      <c r="G40" s="8"/>
    </row>
    <row r="41" spans="6:7">
      <c r="F41" s="8"/>
      <c r="G41" s="8"/>
    </row>
    <row r="42" spans="6:7">
      <c r="F42" s="8"/>
      <c r="G42" s="8"/>
    </row>
    <row r="43" spans="6:7">
      <c r="F43" s="8"/>
      <c r="G43" s="8"/>
    </row>
    <row r="44" spans="6:7">
      <c r="F44" s="8"/>
      <c r="G44" s="8"/>
    </row>
    <row r="45" spans="6:7">
      <c r="F45" s="8"/>
      <c r="G45" s="8"/>
    </row>
    <row r="46" spans="6:7">
      <c r="F46" s="8"/>
      <c r="G46" s="8"/>
    </row>
    <row r="47" spans="6:7">
      <c r="F47" s="8"/>
      <c r="G47" s="8"/>
    </row>
  </sheetData>
  <autoFilter ref="A1:N29" xr:uid="{BDA52673-6C55-0647-B7D5-2D52F4AD24C9}">
    <sortState xmlns:xlrd2="http://schemas.microsoft.com/office/spreadsheetml/2017/richdata2" ref="A2:N29">
      <sortCondition ref="B1:B29"/>
    </sortState>
  </autoFilter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B177-39E0-44EC-A9B6-82688482B31B}">
  <dimension ref="A1:E21"/>
  <sheetViews>
    <sheetView workbookViewId="0">
      <selection activeCell="A13" sqref="A13"/>
    </sheetView>
  </sheetViews>
  <sheetFormatPr baseColWidth="10" defaultColWidth="8.83203125" defaultRowHeight="16"/>
  <cols>
    <col min="1" max="1" width="10.83203125" bestFit="1" customWidth="1"/>
    <col min="3" max="3" width="14.83203125" bestFit="1" customWidth="1"/>
    <col min="4" max="4" width="18.1640625" bestFit="1" customWidth="1"/>
    <col min="5" max="5" width="17.33203125" bestFit="1" customWidth="1"/>
  </cols>
  <sheetData>
    <row r="1" spans="1:5">
      <c r="A1" t="s">
        <v>59</v>
      </c>
      <c r="B1" t="s">
        <v>0</v>
      </c>
      <c r="C1" t="s">
        <v>53</v>
      </c>
      <c r="D1" t="s">
        <v>60</v>
      </c>
      <c r="E1" t="s">
        <v>61</v>
      </c>
    </row>
    <row r="2" spans="1:5">
      <c r="A2" s="7">
        <v>1</v>
      </c>
      <c r="B2" s="7">
        <v>1</v>
      </c>
      <c r="C2" s="21">
        <v>798874</v>
      </c>
      <c r="D2" s="10">
        <v>43114</v>
      </c>
      <c r="E2" s="10">
        <v>43143</v>
      </c>
    </row>
    <row r="3" spans="1:5">
      <c r="A3" s="7">
        <v>2</v>
      </c>
      <c r="B3" s="7">
        <v>1</v>
      </c>
      <c r="C3" s="21">
        <v>798874</v>
      </c>
      <c r="D3" s="10">
        <v>43844</v>
      </c>
      <c r="E3" s="10">
        <v>44026</v>
      </c>
    </row>
    <row r="4" spans="1:5">
      <c r="A4" s="7">
        <v>3</v>
      </c>
      <c r="B4" s="7">
        <v>2</v>
      </c>
      <c r="C4" s="21">
        <v>798874</v>
      </c>
      <c r="D4" s="10">
        <v>43875</v>
      </c>
      <c r="E4" s="10">
        <v>44026</v>
      </c>
    </row>
    <row r="5" spans="1:5">
      <c r="A5" s="7">
        <v>4</v>
      </c>
      <c r="B5" s="7">
        <v>5</v>
      </c>
      <c r="C5" s="7">
        <v>46275719</v>
      </c>
      <c r="D5" s="10">
        <v>42562</v>
      </c>
      <c r="E5" s="10">
        <v>44026</v>
      </c>
    </row>
    <row r="6" spans="1:5">
      <c r="A6" s="7">
        <v>5</v>
      </c>
      <c r="B6" s="7">
        <v>7</v>
      </c>
      <c r="C6" s="20">
        <v>798874</v>
      </c>
      <c r="D6" s="17">
        <v>43122</v>
      </c>
      <c r="E6" s="17">
        <v>43359</v>
      </c>
    </row>
    <row r="7" spans="1:5">
      <c r="A7" s="7">
        <v>6</v>
      </c>
      <c r="B7" s="7">
        <v>7</v>
      </c>
      <c r="C7" s="7">
        <v>743670</v>
      </c>
      <c r="D7" s="10">
        <v>43292</v>
      </c>
      <c r="E7" s="10">
        <v>43357</v>
      </c>
    </row>
    <row r="8" spans="1:5">
      <c r="A8" s="7">
        <v>7</v>
      </c>
      <c r="B8" s="7">
        <v>7</v>
      </c>
      <c r="C8" s="7">
        <v>744740</v>
      </c>
      <c r="D8" s="10">
        <v>43293</v>
      </c>
      <c r="E8" s="10">
        <v>43295</v>
      </c>
    </row>
    <row r="9" spans="1:5">
      <c r="A9" s="7">
        <v>8</v>
      </c>
      <c r="B9" s="7">
        <v>7</v>
      </c>
      <c r="C9" s="7">
        <v>755695</v>
      </c>
      <c r="D9" s="10">
        <v>43262</v>
      </c>
      <c r="E9" s="10">
        <v>43357</v>
      </c>
    </row>
    <row r="10" spans="1:5">
      <c r="A10" s="7">
        <v>9</v>
      </c>
      <c r="B10" s="7">
        <v>8</v>
      </c>
      <c r="C10" s="19">
        <v>791967</v>
      </c>
      <c r="D10" s="10">
        <v>43101</v>
      </c>
      <c r="E10" s="10">
        <v>43344</v>
      </c>
    </row>
    <row r="11" spans="1:5">
      <c r="A11" s="7">
        <v>10</v>
      </c>
      <c r="B11" s="7">
        <v>9</v>
      </c>
      <c r="C11" s="7">
        <v>755695</v>
      </c>
      <c r="D11" s="10">
        <v>43100</v>
      </c>
      <c r="E11" s="10">
        <v>43295</v>
      </c>
    </row>
    <row r="12" spans="1:5">
      <c r="A12" s="7">
        <v>11</v>
      </c>
      <c r="B12" s="7">
        <v>1</v>
      </c>
      <c r="C12" s="21">
        <v>798874</v>
      </c>
      <c r="D12" s="10">
        <v>43159</v>
      </c>
      <c r="E12" s="10">
        <v>43295</v>
      </c>
    </row>
    <row r="13" spans="1:5">
      <c r="B13" s="7"/>
      <c r="C13" s="15"/>
      <c r="D13" s="10"/>
      <c r="E13" s="10"/>
    </row>
    <row r="14" spans="1:5">
      <c r="B14" s="7"/>
      <c r="C14" s="13"/>
      <c r="D14" s="10"/>
      <c r="E14" s="10"/>
    </row>
    <row r="15" spans="1:5">
      <c r="B15" s="7"/>
      <c r="C15" s="13"/>
      <c r="D15" s="10"/>
      <c r="E15" s="10"/>
    </row>
    <row r="16" spans="1:5">
      <c r="A16" s="7"/>
      <c r="B16" s="7"/>
      <c r="C16" s="13"/>
      <c r="D16" s="10"/>
      <c r="E16" s="10"/>
    </row>
    <row r="17" spans="2:5">
      <c r="B17" s="7"/>
      <c r="C17" s="13"/>
      <c r="D17" s="10"/>
      <c r="E17" s="10"/>
    </row>
    <row r="18" spans="2:5">
      <c r="B18" s="7"/>
      <c r="C18" s="13"/>
      <c r="D18" s="10"/>
      <c r="E18" s="10"/>
    </row>
    <row r="19" spans="2:5" ht="20">
      <c r="B19" s="7"/>
      <c r="C19" s="22"/>
      <c r="D19" s="10"/>
      <c r="E19" s="10"/>
    </row>
    <row r="20" spans="2:5">
      <c r="B20" s="7"/>
      <c r="C20" s="13"/>
      <c r="D20" s="10"/>
      <c r="E20" s="10"/>
    </row>
    <row r="21" spans="2:5">
      <c r="B21" s="7"/>
      <c r="C21" s="13"/>
      <c r="D21" s="10"/>
      <c r="E21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2668-8276-415B-9D68-0F30BFBF3261}">
  <dimension ref="A1:L32"/>
  <sheetViews>
    <sheetView workbookViewId="0">
      <selection activeCell="G9" sqref="G9"/>
    </sheetView>
  </sheetViews>
  <sheetFormatPr baseColWidth="10" defaultColWidth="8.83203125" defaultRowHeight="16"/>
  <cols>
    <col min="1" max="1" width="14.83203125" bestFit="1" customWidth="1"/>
    <col min="2" max="2" width="14.83203125" customWidth="1"/>
    <col min="3" max="3" width="19.6640625" bestFit="1" customWidth="1"/>
    <col min="4" max="4" width="12.6640625" bestFit="1" customWidth="1"/>
    <col min="5" max="5" width="22" bestFit="1" customWidth="1"/>
    <col min="6" max="6" width="15.1640625" bestFit="1" customWidth="1"/>
    <col min="7" max="8" width="17.1640625" bestFit="1" customWidth="1"/>
    <col min="9" max="9" width="26.33203125" bestFit="1" customWidth="1"/>
    <col min="10" max="10" width="14.5" bestFit="1" customWidth="1"/>
    <col min="11" max="11" width="14.33203125" bestFit="1" customWidth="1"/>
    <col min="12" max="12" width="13.6640625" bestFit="1" customWidth="1"/>
  </cols>
  <sheetData>
    <row r="1" spans="1:12">
      <c r="A1" t="s">
        <v>53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 s="15">
        <v>798877</v>
      </c>
      <c r="B2" s="15">
        <v>798874</v>
      </c>
      <c r="C2" t="s">
        <v>41</v>
      </c>
      <c r="D2">
        <v>8576</v>
      </c>
      <c r="E2">
        <v>1</v>
      </c>
      <c r="F2">
        <v>8576</v>
      </c>
      <c r="G2">
        <v>1</v>
      </c>
      <c r="H2">
        <v>8587</v>
      </c>
      <c r="I2">
        <v>30</v>
      </c>
      <c r="J2" s="10">
        <v>1</v>
      </c>
      <c r="K2" s="10">
        <v>401768</v>
      </c>
      <c r="L2" t="s">
        <v>73</v>
      </c>
    </row>
    <row r="3" spans="1:12">
      <c r="A3" s="15">
        <v>723164</v>
      </c>
      <c r="B3" s="15">
        <v>723013</v>
      </c>
      <c r="C3" t="s">
        <v>41</v>
      </c>
      <c r="D3">
        <v>8576</v>
      </c>
      <c r="E3">
        <v>1</v>
      </c>
      <c r="F3">
        <v>8576</v>
      </c>
      <c r="G3">
        <v>1</v>
      </c>
      <c r="H3">
        <v>8587</v>
      </c>
      <c r="I3">
        <v>30</v>
      </c>
      <c r="J3" s="10">
        <v>1</v>
      </c>
      <c r="K3" s="10">
        <v>401768</v>
      </c>
      <c r="L3" t="s">
        <v>73</v>
      </c>
    </row>
    <row r="4" spans="1:12">
      <c r="A4" s="7"/>
      <c r="B4" s="7"/>
      <c r="C4" s="14"/>
      <c r="K4" s="10"/>
      <c r="L4" s="10"/>
    </row>
    <row r="5" spans="1:12">
      <c r="A5" s="7"/>
      <c r="B5" s="7"/>
      <c r="C5" s="14"/>
      <c r="K5" s="10"/>
      <c r="L5" s="10"/>
    </row>
    <row r="6" spans="1:12">
      <c r="A6" s="7"/>
      <c r="B6" s="7"/>
      <c r="C6" s="14"/>
      <c r="K6" s="10"/>
      <c r="L6" s="10"/>
    </row>
    <row r="7" spans="1:12">
      <c r="A7" s="7"/>
      <c r="B7" s="7"/>
      <c r="C7" s="7"/>
      <c r="K7" s="10"/>
      <c r="L7" s="10"/>
    </row>
    <row r="8" spans="1:12">
      <c r="A8" s="7"/>
      <c r="B8" s="7"/>
      <c r="C8" s="14"/>
      <c r="K8" s="10"/>
      <c r="L8" s="10"/>
    </row>
    <row r="9" spans="1:12">
      <c r="A9" s="7"/>
      <c r="B9" s="7"/>
      <c r="C9" s="7"/>
      <c r="K9" s="10"/>
      <c r="L9" s="10"/>
    </row>
    <row r="10" spans="1:12">
      <c r="A10" s="7"/>
      <c r="B10" s="7"/>
      <c r="C10" s="14"/>
      <c r="K10" s="10"/>
      <c r="L10" s="10"/>
    </row>
    <row r="11" spans="1:12">
      <c r="A11" s="7"/>
      <c r="B11" s="7"/>
      <c r="C11" s="14"/>
      <c r="K11" s="10"/>
      <c r="L11" s="10"/>
    </row>
    <row r="12" spans="1:12">
      <c r="A12" s="7"/>
      <c r="B12" s="7"/>
      <c r="C12" s="14"/>
      <c r="K12" s="10"/>
      <c r="L12" s="10"/>
    </row>
    <row r="13" spans="1:12">
      <c r="A13" s="7"/>
      <c r="B13" s="7"/>
      <c r="C13" s="15"/>
      <c r="K13" s="10"/>
      <c r="L13" s="10"/>
    </row>
    <row r="14" spans="1:12">
      <c r="A14" s="7"/>
      <c r="B14" s="7"/>
      <c r="C14" s="15"/>
      <c r="K14" s="10"/>
      <c r="L14" s="10"/>
    </row>
    <row r="15" spans="1:12">
      <c r="A15" s="7"/>
      <c r="B15" s="7"/>
      <c r="C15" s="13"/>
      <c r="K15" s="10"/>
      <c r="L15" s="10"/>
    </row>
    <row r="16" spans="1:12">
      <c r="A16" s="7"/>
      <c r="B16" s="7"/>
      <c r="C16" s="13"/>
      <c r="K16" s="10"/>
      <c r="L16" s="10"/>
    </row>
    <row r="17" spans="1:12">
      <c r="A17" s="7"/>
      <c r="B17" s="7"/>
      <c r="C17" s="13"/>
      <c r="K17" s="10"/>
      <c r="L17" s="10"/>
    </row>
    <row r="18" spans="1:12">
      <c r="A18" s="7"/>
      <c r="B18" s="7"/>
      <c r="C18" s="13"/>
      <c r="K18" s="10"/>
      <c r="L18" s="10"/>
    </row>
    <row r="19" spans="1:12">
      <c r="A19" s="7"/>
      <c r="B19" s="7"/>
      <c r="C19" s="13"/>
      <c r="K19" s="10"/>
      <c r="L19" s="10"/>
    </row>
    <row r="20" spans="1:12" ht="20">
      <c r="A20" s="7"/>
      <c r="B20" s="7"/>
      <c r="C20" s="22"/>
      <c r="K20" s="10"/>
      <c r="L20" s="10"/>
    </row>
    <row r="21" spans="1:12">
      <c r="A21" s="7"/>
      <c r="B21" s="7"/>
      <c r="C21" s="13"/>
      <c r="K21" s="10"/>
      <c r="L21" s="10"/>
    </row>
    <row r="22" spans="1:12">
      <c r="A22" s="7"/>
      <c r="B22" s="7"/>
      <c r="C22" s="13"/>
      <c r="K22" s="10"/>
      <c r="L22" s="10"/>
    </row>
    <row r="23" spans="1:12">
      <c r="A23" s="7"/>
      <c r="B23" s="7"/>
      <c r="C23" s="7"/>
      <c r="K23" s="10"/>
      <c r="L23" s="10"/>
    </row>
    <row r="24" spans="1:12">
      <c r="A24" s="7"/>
      <c r="B24" s="7"/>
      <c r="C24" s="13"/>
      <c r="K24" s="10"/>
      <c r="L24" s="10"/>
    </row>
    <row r="25" spans="1:12">
      <c r="A25" s="7"/>
      <c r="B25" s="7"/>
      <c r="C25" s="13"/>
      <c r="K25" s="10"/>
      <c r="L25" s="10"/>
    </row>
    <row r="26" spans="1:12">
      <c r="A26" s="7"/>
      <c r="B26" s="7"/>
      <c r="C26" s="13"/>
      <c r="K26" s="10"/>
      <c r="L26" s="10"/>
    </row>
    <row r="27" spans="1:12">
      <c r="A27" s="7"/>
      <c r="B27" s="7"/>
      <c r="C27" s="13"/>
      <c r="K27" s="10"/>
      <c r="L27" s="10"/>
    </row>
    <row r="28" spans="1:12">
      <c r="A28" s="7"/>
      <c r="B28" s="7"/>
      <c r="C28" s="13"/>
      <c r="K28" s="10"/>
      <c r="L28" s="10"/>
    </row>
    <row r="29" spans="1:12">
      <c r="A29" s="7"/>
      <c r="B29" s="7"/>
      <c r="C29" s="13"/>
      <c r="K29" s="10"/>
      <c r="L29" s="10"/>
    </row>
    <row r="30" spans="1:12">
      <c r="A30" s="7"/>
      <c r="B30" s="7"/>
      <c r="C30" s="13"/>
      <c r="K30" s="10"/>
      <c r="L30" s="10"/>
    </row>
    <row r="31" spans="1:12">
      <c r="A31" s="7"/>
      <c r="B31" s="7"/>
      <c r="C31" s="15"/>
      <c r="K31" s="10"/>
      <c r="L31" s="10"/>
    </row>
    <row r="32" spans="1:12">
      <c r="A32" s="7"/>
      <c r="B32" s="7"/>
      <c r="C32" s="15"/>
      <c r="K32" s="10"/>
      <c r="L3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8E45-9606-7742-9618-E4340141566B}">
  <dimension ref="A1:M8"/>
  <sheetViews>
    <sheetView workbookViewId="0">
      <selection activeCell="C6" sqref="C6"/>
    </sheetView>
  </sheetViews>
  <sheetFormatPr baseColWidth="10" defaultColWidth="11" defaultRowHeight="16"/>
  <cols>
    <col min="2" max="2" width="12.5" bestFit="1" customWidth="1"/>
    <col min="3" max="3" width="19.6640625" bestFit="1" customWidth="1"/>
    <col min="4" max="4" width="19.6640625" customWidth="1"/>
    <col min="5" max="5" width="20.83203125" bestFit="1" customWidth="1"/>
    <col min="6" max="6" width="13.6640625" bestFit="1" customWidth="1"/>
    <col min="7" max="7" width="23.6640625" bestFit="1" customWidth="1"/>
    <col min="8" max="8" width="15" bestFit="1" customWidth="1"/>
    <col min="9" max="9" width="17.83203125" bestFit="1" customWidth="1"/>
    <col min="10" max="10" width="15.83203125" bestFit="1" customWidth="1"/>
    <col min="11" max="11" width="16.1640625" bestFit="1" customWidth="1"/>
    <col min="12" max="12" width="17.5" bestFit="1" customWidth="1"/>
    <col min="13" max="13" width="19.83203125" bestFit="1" customWidth="1"/>
  </cols>
  <sheetData>
    <row r="1" spans="1:1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</row>
    <row r="2" spans="1:13" ht="17" customHeight="1">
      <c r="A2">
        <v>1</v>
      </c>
      <c r="B2">
        <v>1</v>
      </c>
      <c r="C2" s="10">
        <v>43850</v>
      </c>
      <c r="D2" s="10">
        <v>44088</v>
      </c>
      <c r="E2" t="s">
        <v>86</v>
      </c>
      <c r="F2" t="s">
        <v>87</v>
      </c>
      <c r="G2">
        <f t="shared" ref="G2" si="0">D2-C2</f>
        <v>238</v>
      </c>
      <c r="H2">
        <v>1</v>
      </c>
      <c r="I2" t="s">
        <v>88</v>
      </c>
      <c r="J2" t="s">
        <v>88</v>
      </c>
      <c r="K2">
        <v>20</v>
      </c>
      <c r="L2">
        <v>20</v>
      </c>
      <c r="M2">
        <v>2</v>
      </c>
    </row>
    <row r="3" spans="1:13" ht="17" customHeight="1">
      <c r="A3">
        <v>2</v>
      </c>
      <c r="B3">
        <v>1</v>
      </c>
      <c r="C3" s="10">
        <v>43850</v>
      </c>
      <c r="D3" s="10">
        <v>44088</v>
      </c>
      <c r="E3" t="s">
        <v>86</v>
      </c>
      <c r="F3" t="s">
        <v>87</v>
      </c>
      <c r="G3">
        <f t="shared" ref="G3" si="1">D3-C3</f>
        <v>238</v>
      </c>
      <c r="H3">
        <v>1</v>
      </c>
      <c r="I3" t="s">
        <v>88</v>
      </c>
      <c r="J3" t="s">
        <v>88</v>
      </c>
      <c r="K3">
        <v>20</v>
      </c>
      <c r="L3">
        <v>20</v>
      </c>
      <c r="M3">
        <v>2</v>
      </c>
    </row>
    <row r="4" spans="1:13" s="16" customFormat="1">
      <c r="A4">
        <v>8</v>
      </c>
      <c r="B4">
        <v>1</v>
      </c>
      <c r="C4" s="10">
        <v>43850</v>
      </c>
      <c r="D4" s="10">
        <v>44088</v>
      </c>
      <c r="E4" t="s">
        <v>86</v>
      </c>
      <c r="F4" t="s">
        <v>87</v>
      </c>
      <c r="G4">
        <f>D4-C4</f>
        <v>238</v>
      </c>
      <c r="H4">
        <v>1</v>
      </c>
      <c r="I4" t="s">
        <v>88</v>
      </c>
      <c r="J4" t="s">
        <v>88</v>
      </c>
      <c r="K4">
        <v>20</v>
      </c>
      <c r="L4">
        <v>20</v>
      </c>
      <c r="M4">
        <v>2</v>
      </c>
    </row>
    <row r="5" spans="1:13" s="16" customFormat="1">
      <c r="A5">
        <v>9</v>
      </c>
      <c r="B5">
        <v>1</v>
      </c>
      <c r="C5" s="10">
        <v>43850</v>
      </c>
      <c r="D5" s="10">
        <v>44088</v>
      </c>
      <c r="E5" t="s">
        <v>86</v>
      </c>
      <c r="F5" t="s">
        <v>87</v>
      </c>
      <c r="G5">
        <f>D5-C5</f>
        <v>238</v>
      </c>
      <c r="H5">
        <v>1</v>
      </c>
      <c r="I5" t="s">
        <v>88</v>
      </c>
      <c r="J5" t="s">
        <v>88</v>
      </c>
      <c r="K5">
        <v>20</v>
      </c>
      <c r="L5">
        <v>20</v>
      </c>
      <c r="M5">
        <v>2</v>
      </c>
    </row>
    <row r="6" spans="1:13" s="16" customFormat="1">
      <c r="A6">
        <v>15</v>
      </c>
      <c r="B6">
        <v>1</v>
      </c>
      <c r="C6" s="10">
        <v>43850</v>
      </c>
      <c r="D6" s="10">
        <v>44088</v>
      </c>
      <c r="E6" t="s">
        <v>86</v>
      </c>
      <c r="F6" t="s">
        <v>87</v>
      </c>
      <c r="G6">
        <f>D6-C6</f>
        <v>238</v>
      </c>
      <c r="H6">
        <v>1</v>
      </c>
      <c r="I6" t="s">
        <v>88</v>
      </c>
      <c r="J6" t="s">
        <v>88</v>
      </c>
      <c r="K6">
        <v>20</v>
      </c>
      <c r="L6">
        <v>20</v>
      </c>
      <c r="M6">
        <v>2</v>
      </c>
    </row>
    <row r="7" spans="1:13" s="16" customFormat="1">
      <c r="A7">
        <v>15</v>
      </c>
      <c r="B7">
        <v>1</v>
      </c>
      <c r="C7" s="10">
        <v>43850</v>
      </c>
      <c r="D7" s="10">
        <v>44088</v>
      </c>
      <c r="E7" t="s">
        <v>86</v>
      </c>
      <c r="F7" t="s">
        <v>87</v>
      </c>
      <c r="G7">
        <f>D7-C7</f>
        <v>238</v>
      </c>
      <c r="H7">
        <v>1</v>
      </c>
      <c r="I7" t="s">
        <v>88</v>
      </c>
      <c r="J7" t="s">
        <v>88</v>
      </c>
      <c r="K7">
        <v>20</v>
      </c>
      <c r="L7">
        <v>20</v>
      </c>
      <c r="M7">
        <v>2</v>
      </c>
    </row>
    <row r="8" spans="1:13">
      <c r="C8" s="10"/>
      <c r="D8" s="10"/>
    </row>
  </sheetData>
  <autoFilter ref="A1:K4" xr:uid="{32638E45-9606-7742-9618-E4340141566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2E86-5D80-D941-800F-9753E6FCDF33}">
  <dimension ref="A1:Q11"/>
  <sheetViews>
    <sheetView workbookViewId="0">
      <selection activeCell="E34" sqref="E34"/>
    </sheetView>
  </sheetViews>
  <sheetFormatPr baseColWidth="10" defaultColWidth="11" defaultRowHeight="16"/>
  <cols>
    <col min="1" max="1" width="16.6640625" bestFit="1" customWidth="1"/>
    <col min="3" max="3" width="14" bestFit="1" customWidth="1"/>
    <col min="5" max="5" width="17.1640625" bestFit="1" customWidth="1"/>
    <col min="8" max="8" width="18.6640625" bestFit="1" customWidth="1"/>
  </cols>
  <sheetData>
    <row r="1" spans="1:17">
      <c r="A1" t="s">
        <v>35</v>
      </c>
      <c r="B1" t="s">
        <v>0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34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</row>
    <row r="2" spans="1:17">
      <c r="A2">
        <v>2</v>
      </c>
      <c r="B2">
        <v>1</v>
      </c>
      <c r="D2" s="10">
        <v>42736</v>
      </c>
      <c r="F2" s="10">
        <v>42736</v>
      </c>
      <c r="H2">
        <v>9201</v>
      </c>
    </row>
    <row r="3" spans="1:17">
      <c r="A3">
        <v>1</v>
      </c>
      <c r="B3">
        <v>1</v>
      </c>
      <c r="D3" s="10">
        <v>42745</v>
      </c>
      <c r="F3" s="10">
        <v>42745</v>
      </c>
      <c r="H3">
        <v>9201</v>
      </c>
    </row>
    <row r="4" spans="1:17">
      <c r="A4">
        <v>3</v>
      </c>
      <c r="B4">
        <v>1</v>
      </c>
      <c r="D4" s="10">
        <v>41654</v>
      </c>
      <c r="F4" s="10">
        <v>41654</v>
      </c>
      <c r="H4">
        <v>9203</v>
      </c>
    </row>
    <row r="5" spans="1:17">
      <c r="A5">
        <v>4</v>
      </c>
      <c r="B5">
        <v>7</v>
      </c>
      <c r="D5" s="10">
        <v>43070</v>
      </c>
      <c r="F5" s="10">
        <v>43070</v>
      </c>
      <c r="H5">
        <v>9203</v>
      </c>
    </row>
    <row r="6" spans="1:17">
      <c r="A6">
        <v>5</v>
      </c>
      <c r="B6">
        <v>8</v>
      </c>
      <c r="D6" s="10">
        <v>43070</v>
      </c>
      <c r="F6" s="10">
        <v>43070</v>
      </c>
      <c r="H6">
        <v>9203</v>
      </c>
    </row>
    <row r="7" spans="1:17">
      <c r="A7">
        <v>6</v>
      </c>
      <c r="B7">
        <v>9</v>
      </c>
      <c r="D7" s="10">
        <v>43070</v>
      </c>
      <c r="F7" s="10">
        <v>43070</v>
      </c>
      <c r="H7">
        <v>9203</v>
      </c>
    </row>
    <row r="8" spans="1:17">
      <c r="A8">
        <v>7</v>
      </c>
      <c r="B8">
        <v>10</v>
      </c>
      <c r="D8" s="10">
        <v>43070</v>
      </c>
      <c r="F8" s="10">
        <v>43070</v>
      </c>
      <c r="H8">
        <v>9203</v>
      </c>
    </row>
    <row r="9" spans="1:17">
      <c r="A9">
        <v>8</v>
      </c>
      <c r="B9">
        <v>11</v>
      </c>
      <c r="D9" s="10">
        <v>43070</v>
      </c>
      <c r="F9" s="10">
        <v>43070</v>
      </c>
      <c r="H9">
        <v>9203</v>
      </c>
    </row>
    <row r="10" spans="1:17">
      <c r="A10">
        <v>9</v>
      </c>
      <c r="B10">
        <v>11</v>
      </c>
      <c r="D10" s="10">
        <v>43040</v>
      </c>
      <c r="F10" s="10">
        <v>43040</v>
      </c>
      <c r="H10">
        <v>9203</v>
      </c>
    </row>
    <row r="11" spans="1:17">
      <c r="A11">
        <v>10</v>
      </c>
      <c r="B11">
        <v>11</v>
      </c>
      <c r="D11" s="10">
        <v>43009</v>
      </c>
      <c r="F11" s="10">
        <v>43009</v>
      </c>
      <c r="H11">
        <v>9203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8E57FAF33F44FB5E762D78C70B43B" ma:contentTypeVersion="3" ma:contentTypeDescription="Create a new document." ma:contentTypeScope="" ma:versionID="ffa46df45eb63a91df94189858519904">
  <xsd:schema xmlns:xsd="http://www.w3.org/2001/XMLSchema" xmlns:xs="http://www.w3.org/2001/XMLSchema" xmlns:p="http://schemas.microsoft.com/office/2006/metadata/properties" xmlns:ns2="2f696df8-7461-455e-9bf1-ef56149775f2" targetNamespace="http://schemas.microsoft.com/office/2006/metadata/properties" ma:root="true" ma:fieldsID="23f069db652fc0323145f31546307aa2" ns2:_="">
    <xsd:import namespace="2f696df8-7461-455e-9bf1-ef56149775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96df8-7461-455e-9bf1-ef5614977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74C39-E305-437B-89E5-691639CCCAB7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2f696df8-7461-455e-9bf1-ef56149775f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741E56B-A40C-4308-AE9A-E8A33FDA3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96df8-7461-455e-9bf1-ef5614977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BB2D99-B90A-4F2C-B88E-D2F6417F4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person</vt:lpstr>
      <vt:lpstr>observation_period</vt:lpstr>
      <vt:lpstr>condition_occurrence</vt:lpstr>
      <vt:lpstr>observation</vt:lpstr>
      <vt:lpstr>procedure_occurrence</vt:lpstr>
      <vt:lpstr>measurement</vt:lpstr>
      <vt:lpstr>drug_exposure</vt:lpstr>
      <vt:lpstr>drug_era</vt:lpstr>
      <vt:lpstr>drug_strength</vt:lpstr>
      <vt:lpstr>pregnancy_extension</vt:lpstr>
      <vt:lpstr>visit_occurrence</vt:lpstr>
      <vt:lpstr>measurement!measurement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Rijnbeek</dc:creator>
  <cp:keywords/>
  <dc:description/>
  <cp:lastModifiedBy>adam black</cp:lastModifiedBy>
  <cp:revision/>
  <dcterms:created xsi:type="dcterms:W3CDTF">2023-10-15T14:42:17Z</dcterms:created>
  <dcterms:modified xsi:type="dcterms:W3CDTF">2026-02-02T17:31:36Z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0x0101005E48E57FAF33F44FB5E762D78C70B43B</vt:lpwstr>
  </property>
</Properties>
</file>